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C27592-4604-475B-A992-16112BEE73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Functional_TestCases" sheetId="2" r:id="rId2"/>
    <sheet name="Test_Data" sheetId="3" r:id="rId3"/>
    <sheet name="Mapping_Yeu_Cau" sheetId="4" r:id="rId4"/>
    <sheet name="API_Checklist" sheetId="5" r:id="rId5"/>
    <sheet name="Bug_Log" sheetId="6" r:id="rId6"/>
    <sheet name="Huong_D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" l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B5" i="1"/>
  <c r="E4" i="1"/>
  <c r="B4" i="1"/>
  <c r="E3" i="1"/>
  <c r="B3" i="1"/>
  <c r="B2" i="1"/>
  <c r="E5" i="1" l="1"/>
</calcChain>
</file>

<file path=xl/sharedStrings.xml><?xml version="1.0" encoding="utf-8"?>
<sst xmlns="http://schemas.openxmlformats.org/spreadsheetml/2006/main" count="1253" uniqueCount="749">
  <si>
    <t>DASHBOARD TEST CASE CHỨC NĂNG - LEGAL RAG CHATBOT</t>
  </si>
  <si>
    <t>Tổng số test case</t>
  </si>
  <si>
    <t>Ngày cập nhật</t>
  </si>
  <si>
    <t>2026-05-19</t>
  </si>
  <si>
    <t>Pass</t>
  </si>
  <si>
    <t>Fail</t>
  </si>
  <si>
    <t>Blocked</t>
  </si>
  <si>
    <t>Not Run</t>
  </si>
  <si>
    <t>N/A</t>
  </si>
  <si>
    <t>Tỷ lệ pass</t>
  </si>
  <si>
    <t>Theo module</t>
  </si>
  <si>
    <t>Tổng</t>
  </si>
  <si>
    <t>Authentication</t>
  </si>
  <si>
    <t>Chatbot</t>
  </si>
  <si>
    <t>Citation</t>
  </si>
  <si>
    <t>Documents</t>
  </si>
  <si>
    <t>Frontend UI</t>
  </si>
  <si>
    <t>History</t>
  </si>
  <si>
    <t>Retrieval</t>
  </si>
  <si>
    <t>Template Wizard</t>
  </si>
  <si>
    <t>User Profile</t>
  </si>
  <si>
    <t>TC_ID</t>
  </si>
  <si>
    <t>Req_ID</t>
  </si>
  <si>
    <t>Module</t>
  </si>
  <si>
    <t>Chức năng</t>
  </si>
  <si>
    <t>Mục tiêu kiểm thử</t>
  </si>
  <si>
    <t>Tiền điều kiện</t>
  </si>
  <si>
    <t>Dữ liệu test</t>
  </si>
  <si>
    <t>Các bước thực hiện</t>
  </si>
  <si>
    <t>Kết quả mong đợi</t>
  </si>
  <si>
    <t>Actual Result</t>
  </si>
  <si>
    <t>Status</t>
  </si>
  <si>
    <t>Priority</t>
  </si>
  <si>
    <t>Ghi chú</t>
  </si>
  <si>
    <t>AUTH-001</t>
  </si>
  <si>
    <t>FR-01</t>
  </si>
  <si>
    <t>Đăng ký tài khoản</t>
  </si>
  <si>
    <t>Kiểm tra đăng ký tài khoản hợp lệ</t>
  </si>
  <si>
    <t>Backend/Frontend đang chạy</t>
  </si>
  <si>
    <t>username=tester001; email=tester001@example.com; password=Test@123456</t>
  </si>
  <si>
    <t>1. Mở trang Register
2. Nhập username, email, password hợp lệ
3. Bấm Đăng ký</t>
  </si>
  <si>
    <t>Tài khoản được tạo thành công; hệ thống chuyển/hướng dẫn sang trang đăng nhập; API trả thông tin user không chứa mật khẩu.</t>
  </si>
  <si>
    <t>P0</t>
  </si>
  <si>
    <t>AUTH-002</t>
  </si>
  <si>
    <t>Đăng ký trùng username</t>
  </si>
  <si>
    <t>Kiểm tra chặn username đã tồn tại</t>
  </si>
  <si>
    <t>Đã có user tester001</t>
  </si>
  <si>
    <t>username=tester001; email=tester002@example.com</t>
  </si>
  <si>
    <t>1. Đăng ký với username đã tồn tại
2. Quan sát thông báo</t>
  </si>
  <si>
    <t>Hệ thống từ chối và hiển thị lỗi Username already registered hoặc thông báo tương đương.</t>
  </si>
  <si>
    <t>P1</t>
  </si>
  <si>
    <t>AUTH-003</t>
  </si>
  <si>
    <t>Đăng ký trùng email</t>
  </si>
  <si>
    <t>Kiểm tra chặn email đã tồn tại</t>
  </si>
  <si>
    <t>Đã có email tester001@example.com</t>
  </si>
  <si>
    <t>username=tester003; email=tester001@example.com</t>
  </si>
  <si>
    <t>1. Đăng ký với email đã tồn tại
2. Quan sát thông báo</t>
  </si>
  <si>
    <t>Hệ thống từ chối và hiển thị lỗi Email already registered hoặc thông báo tương đương.</t>
  </si>
  <si>
    <t>AUTH-004</t>
  </si>
  <si>
    <t>Đăng ký email sai định dạng</t>
  </si>
  <si>
    <t>Kiểm tra validate email</t>
  </si>
  <si>
    <t>Không yêu cầu</t>
  </si>
  <si>
    <t>email=abc-not-email</t>
  </si>
  <si>
    <t>1. Mở Register
2. Nhập email sai định dạng
3. Bấm Đăng ký</t>
  </si>
  <si>
    <t>Form hoặc API từ chối dữ liệu; không tạo tài khoản mới.</t>
  </si>
  <si>
    <t>AUTH-005</t>
  </si>
  <si>
    <t>Đăng ký mật khẩu quá dài</t>
  </si>
  <si>
    <t>Kiểm tra validate giới hạn bcrypt 72 bytes</t>
  </si>
  <si>
    <t>password dài hơn 72 bytes</t>
  </si>
  <si>
    <t>1. Gửi đăng ký với mật khẩu rất dài
2. Quan sát response</t>
  </si>
  <si>
    <t>API trả 400 và thông báo mật khẩu quá dài; không tạo tài khoản.</t>
  </si>
  <si>
    <t>P2</t>
  </si>
  <si>
    <t>AUTH-006</t>
  </si>
  <si>
    <t>Đăng nhập hợp lệ</t>
  </si>
  <si>
    <t>Kiểm tra cấp access token</t>
  </si>
  <si>
    <t>Đã có tài khoản tester001</t>
  </si>
  <si>
    <t>username=tester001; password=Test@123456</t>
  </si>
  <si>
    <t>1. Mở Login
2. Nhập đúng username/password
3. Bấm Đăng nhập</t>
  </si>
  <si>
    <t>Đăng nhập thành công; token được lưu ở localStorage; giao diện chuyển sang trang chính.</t>
  </si>
  <si>
    <t>AUTH-007</t>
  </si>
  <si>
    <t>Đăng nhập sai mật khẩu</t>
  </si>
  <si>
    <t>Kiểm tra từ chối thông tin đăng nhập sai</t>
  </si>
  <si>
    <t>password=WrongPass</t>
  </si>
  <si>
    <t>1. Mở Login
2. Nhập username đúng, password sai
3. Bấm Đăng nhập</t>
  </si>
  <si>
    <t>API trả 401; UI hiển thị lỗi Incorrect username or password hoặc thông báo tương đương.</t>
  </si>
  <si>
    <t>AUTH-008</t>
  </si>
  <si>
    <t>Xác thực token hợp lệ</t>
  </si>
  <si>
    <t>Kiểm tra endpoint verify</t>
  </si>
  <si>
    <t>Đã đăng nhập và có token hợp lệ</t>
  </si>
  <si>
    <t>Authorization: Bearer &lt;token&gt;</t>
  </si>
  <si>
    <t>1. Gọi GET /auth/verify
2. Kiểm tra response</t>
  </si>
  <si>
    <t>Response trả status=valid và username hiện tại.</t>
  </si>
  <si>
    <t>AUTH-009</t>
  </si>
  <si>
    <t>Truy cập API cần đăng nhập khi thiếu token</t>
  </si>
  <si>
    <t>Kiểm tra bảo vệ endpoint</t>
  </si>
  <si>
    <t>Không có token</t>
  </si>
  <si>
    <t>GET /users/me hoặc /documents</t>
  </si>
  <si>
    <t>1. Xóa token
2. Gọi endpoint cần đăng nhập</t>
  </si>
  <si>
    <t>Hệ thống trả 401/403; không trả dữ liệu người dùng/tài liệu.</t>
  </si>
  <si>
    <t>AUTH-010</t>
  </si>
  <si>
    <t>Lấy thông tin user hiện tại</t>
  </si>
  <si>
    <t>Kiểm tra /users/me</t>
  </si>
  <si>
    <t>Đã đăng nhập</t>
  </si>
  <si>
    <t>1. Gọi GET /users/me
2. Kiểm tra dữ liệu</t>
  </si>
  <si>
    <t>Trả id, username, email, is_active; không trả hashed_password.</t>
  </si>
  <si>
    <t>AUTH-011</t>
  </si>
  <si>
    <t>Đăng xuất</t>
  </si>
  <si>
    <t>Kiểm tra xóa token phía frontend</t>
  </si>
  <si>
    <t>Token trong localStorage</t>
  </si>
  <si>
    <t>1. Bấm logout/đăng xuất
2. Refresh trang</t>
  </si>
  <si>
    <t>Token bị xóa; giao diện về trạng thái chưa đăng nhập; chức năng cần token không dùng được.</t>
  </si>
  <si>
    <t>PROF-001</t>
  </si>
  <si>
    <t>Đổi username hợp lệ</t>
  </si>
  <si>
    <t>Kiểm tra cập nhật username</t>
  </si>
  <si>
    <t>new_username=tester001_new</t>
  </si>
  <si>
    <t>1. Mở Settings/Profile
2. Nhập username mới
3. Lưu</t>
  </si>
  <si>
    <t>API trả đổi tên thành công; /users/me trả username mới.</t>
  </si>
  <si>
    <t>PROF-002</t>
  </si>
  <si>
    <t>Đổi username rỗng</t>
  </si>
  <si>
    <t>Kiểm tra validate username rỗng</t>
  </si>
  <si>
    <t>new_username='   '</t>
  </si>
  <si>
    <t>1. Nhập username chỉ gồm khoảng trắng
2. Lưu</t>
  </si>
  <si>
    <t>Hệ thống từ chối và báo tên người dùng không được để trống.</t>
  </si>
  <si>
    <t>PROF-003</t>
  </si>
  <si>
    <t>Đổi username trùng</t>
  </si>
  <si>
    <t>Đã có 2 tài khoản</t>
  </si>
  <si>
    <t>new_username của user khác</t>
  </si>
  <si>
    <t>1. Nhập username đã tồn tại
2. Lưu</t>
  </si>
  <si>
    <t>API trả 400; username không bị thay đổi.</t>
  </si>
  <si>
    <t>PROF-004</t>
  </si>
  <si>
    <t>Đổi mật khẩu hợp lệ</t>
  </si>
  <si>
    <t>Kiểm tra đổi mật khẩu</t>
  </si>
  <si>
    <t>old_password đúng; new_password=New@123456</t>
  </si>
  <si>
    <t>1. Nhập mật khẩu cũ đúng và mật khẩu mới
2. Lưu
3. Đăng xuất và đăng nhập lại bằng mật khẩu mới</t>
  </si>
  <si>
    <t>Đổi mật khẩu thành công; mật khẩu cũ không đăng nhập được; mật khẩu mới đăng nhập được.</t>
  </si>
  <si>
    <t>PROF-005</t>
  </si>
  <si>
    <t>Đổi mật khẩu sai mật khẩu cũ</t>
  </si>
  <si>
    <t>Kiểm tra validate mật khẩu cũ</t>
  </si>
  <si>
    <t>old_password sai</t>
  </si>
  <si>
    <t>1. Nhập mật khẩu cũ sai
2. Lưu</t>
  </si>
  <si>
    <t>API trả lỗi mật khẩu cũ không đúng; mật khẩu không bị thay đổi.</t>
  </si>
  <si>
    <t>PROF-006</t>
  </si>
  <si>
    <t>Xóa tài khoản sai mật khẩu</t>
  </si>
  <si>
    <t>Kiểm tra chặn xóa tài khoản khi sai password</t>
  </si>
  <si>
    <t>password sai</t>
  </si>
  <si>
    <t>1. Vào xóa tài khoản
2. Nhập password sai
3. Xác nhận</t>
  </si>
  <si>
    <t>Hệ thống từ chối; tài khoản vẫn đăng nhập được.</t>
  </si>
  <si>
    <t>CHAT-001</t>
  </si>
  <si>
    <t>FR-02</t>
  </si>
  <si>
    <t>Gửi câu hỏi pháp luật hợp lệ</t>
  </si>
  <si>
    <t>Kiểm tra luồng hỏi đáp cơ bản</t>
  </si>
  <si>
    <t>Backend có GEMINI/API key hợp lệ và cache đã sẵn sàng</t>
  </si>
  <si>
    <t>Tôi bị tai nạn giao thông thì cần chuẩn bị giấy tờ gì để yêu cầu bồi thường?</t>
  </si>
  <si>
    <t>1. Đăng nhập hoặc dùng khách
2. Nhập câu hỏi pháp luật
3. Gửi</t>
  </si>
  <si>
    <t>Chatbot trả câu trả lời bằng tiếng Việt; có nội dung liên quan câu hỏi; không lỗi hệ thống.</t>
  </si>
  <si>
    <t>CHAT-002</t>
  </si>
  <si>
    <t>Câu hỏi rỗng</t>
  </si>
  <si>
    <t>Kiểm tra validate query rỗng</t>
  </si>
  <si>
    <t>query='' hoặc chỉ khoảng trắng</t>
  </si>
  <si>
    <t>1. Gửi câu hỏi rỗng</t>
  </si>
  <si>
    <t>Hệ thống từ chối; API trả 400 Query cannot be empty hoặc UI không cho gửi.</t>
  </si>
  <si>
    <t>CHAT-003</t>
  </si>
  <si>
    <t>Câu hỏi giao tiếp thông thường</t>
  </si>
  <si>
    <t>Kiểm tra xử lý smalltalk</t>
  </si>
  <si>
    <t>Xin chào</t>
  </si>
  <si>
    <t>1. Nhập câu chào hỏi
2. Gửi</t>
  </si>
  <si>
    <t>Hệ thống phản hồi phù hợp, không bịa căn cứ pháp luật không cần thiết.</t>
  </si>
  <si>
    <t>CHAT-004</t>
  </si>
  <si>
    <t>Câu hỏi ngoài miền</t>
  </si>
  <si>
    <t>Kiểm tra không ép trả lời pháp luật</t>
  </si>
  <si>
    <t>Hôm nay ăn gì ngon?</t>
  </si>
  <si>
    <t>1. Nhập câu hỏi ngoài miền
2. Gửi</t>
  </si>
  <si>
    <t>Hệ thống trả lời lịch sự rằng câu hỏi ngoài phạm vi hoặc không kích hoạt RAG pháp luật không cần thiết.</t>
  </si>
  <si>
    <t>CHAT-005</t>
  </si>
  <si>
    <t>Hỏi tiếp trong cùng hội thoại</t>
  </si>
  <si>
    <t>Kiểm tra duy trì conversation_id</t>
  </si>
  <si>
    <t>Đã có câu hỏi đầu tiên tạo conversation_id</t>
  </si>
  <si>
    <t>conversation_id từ response trước</t>
  </si>
  <si>
    <t>1. Gửi câu hỏi đầu
2. Gửi câu hỏi tiếp theo trong cùng conversation_id</t>
  </si>
  <si>
    <t>Câu trả lời được lưu cùng hội thoại; response có conversation_id không đổi.</t>
  </si>
  <si>
    <t>CHAT-006</t>
  </si>
  <si>
    <t>Khách chưa đăng nhập hỏi pháp luật</t>
  </si>
  <si>
    <t>Kiểm tra chế độ guest</t>
  </si>
  <si>
    <t>Không đăng nhập</t>
  </si>
  <si>
    <t>Câu hỏi pháp luật bất kỳ</t>
  </si>
  <si>
    <t>1. Xóa token
2. Gửi POST /query hoặc hỏi trên UI</t>
  </si>
  <si>
    <t>CHAT-007</t>
  </si>
  <si>
    <t>Người dùng đăng nhập hỏi pháp luật</t>
  </si>
  <si>
    <t>Kiểm tra lưu lịch sử tự động</t>
  </si>
  <si>
    <t>1. Đăng nhập
2. Gửi câu hỏi
3. Mở lịch sử</t>
  </si>
  <si>
    <t>Câu hỏi/câu trả lời được lưu trong lịch sử của user.</t>
  </si>
  <si>
    <t>CHAT-008</t>
  </si>
  <si>
    <t>Tắt include_user_documents</t>
  </si>
  <si>
    <t>Kiểm tra query chỉ dùng kho luật chung</t>
  </si>
  <si>
    <t>Đã đăng nhập và đã upload tài liệu</t>
  </si>
  <si>
    <t>include_user_documents=false</t>
  </si>
  <si>
    <t>1. Gửi /query với include_user_documents=false
2. Kiểm tra response</t>
  </si>
  <si>
    <t>Câu trả lời không sử dụng nguồn tài liệu cá nhân; chỉ trả nguồn kho luật chung nếu có.</t>
  </si>
  <si>
    <t>CHAT-009</t>
  </si>
  <si>
    <t>user_documents_only khi chưa đăng nhập</t>
  </si>
  <si>
    <t>Kiểm tra ràng buộc tài liệu cá nhân</t>
  </si>
  <si>
    <t>user_documents_only=true</t>
  </si>
  <si>
    <t>1. Gửi /query với user_documents_only=true</t>
  </si>
  <si>
    <t>API trả 400 yêu cầu đăng nhập để trả lời trong phạm vi tài liệu đã tải lên.</t>
  </si>
  <si>
    <t>CHAT-010</t>
  </si>
  <si>
    <t>Câu hỏi rất dài</t>
  </si>
  <si>
    <t>Kiểm tra hệ thống không crash với input dài</t>
  </si>
  <si>
    <t>Đoạn câu hỏi dài &gt; 1000 ký tự</t>
  </si>
  <si>
    <t>1. Gửi câu hỏi dài
2. Quan sát response</t>
  </si>
  <si>
    <t>Hệ thống xử lý hoặc trả lỗi hợp lệ; không treo frontend/backend.</t>
  </si>
  <si>
    <t>SEARCH-001</t>
  </si>
  <si>
    <t>FR-03</t>
  </si>
  <si>
    <t>Tìm theo số hiệu/tên văn bản</t>
  </si>
  <si>
    <t>Kiểm tra truy xuất khi có keyword rõ</t>
  </si>
  <si>
    <t>Cache BM25/FAISS đã sẵn sàng</t>
  </si>
  <si>
    <t>Nghị định 100 quy định gì về xử phạt giao thông?</t>
  </si>
  <si>
    <t>1. Gửi câu hỏi có số hiệu/tên văn bản
2. Xem sources</t>
  </si>
  <si>
    <t>Sources chứa tài liệu/văn bản liên quan đến từ khóa truy vấn.</t>
  </si>
  <si>
    <t>SEARCH-002</t>
  </si>
  <si>
    <t>Tìm theo ngôn ngữ đời thường</t>
  </si>
  <si>
    <t>Kiểm tra vector search/hybrid search</t>
  </si>
  <si>
    <t>Cache đã sẵn sàng</t>
  </si>
  <si>
    <t>Đi xe máy không đội mũ bảo hiểm bị phạt bao nhiêu?</t>
  </si>
  <si>
    <t>1. Gửi câu hỏi đời thường
2. Xem câu trả lời và sources</t>
  </si>
  <si>
    <t>Hệ thống truy xuất được nguồn liên quan đến xử phạt giao thông/mũ bảo hiểm.</t>
  </si>
  <si>
    <t>SEARCH-003</t>
  </si>
  <si>
    <t>Tìm theo Điều/Khoản</t>
  </si>
  <si>
    <t>Kiểm tra giữ khóa truy hồi pháp lý</t>
  </si>
  <si>
    <t>Điều kiện hưởng trợ cấp thất nghiệp là gì?</t>
  </si>
  <si>
    <t>1. Gửi câu hỏi có thuật ngữ pháp lý
2. Xem sources</t>
  </si>
  <si>
    <t>Sources có đoạn luật/chính sách liên quan điều kiện hưởng trợ cấp thất nghiệp.</t>
  </si>
  <si>
    <t>SEARCH-004</t>
  </si>
  <si>
    <t>Không tìm được tài liệu phù hợp</t>
  </si>
  <si>
    <t>Kiểm tra phản hồi khi nguồn yếu</t>
  </si>
  <si>
    <t>Quy định pháp luật về việc nuôi rồng trong lâu đài?</t>
  </si>
  <si>
    <t>1. Gửi câu hỏi khó/không có trong corpus</t>
  </si>
  <si>
    <t>Hệ thống trả lời thận trọng, không khẳng định bừa; có thể nói không tìm thấy căn cứ phù hợp.</t>
  </si>
  <si>
    <t>SEARCH-005</t>
  </si>
  <si>
    <t>Top-K source được trả về</t>
  </si>
  <si>
    <t>Kiểm tra response có danh sách sources</t>
  </si>
  <si>
    <t>Backend đang chạy</t>
  </si>
  <si>
    <t>1. Gửi /query
2. Kiểm tra raw_results.sources hoặc response.sources</t>
  </si>
  <si>
    <t>Response có trường sources dạng danh sách/chuỗi nguồn không rỗng khi tìm được tài liệu.</t>
  </si>
  <si>
    <t>SEARCH-006</t>
  </si>
  <si>
    <t>referenced_doc_ids</t>
  </si>
  <si>
    <t>Kiểm tra trả mã tài liệu tham chiếu</t>
  </si>
  <si>
    <t>Câu hỏi có nguồn rõ</t>
  </si>
  <si>
    <t>1. Gửi /query
2. Kiểm tra referenced_doc_ids</t>
  </si>
  <si>
    <t>Response có referenced_doc_ids khi câu trả lời trích dẫn được văn bản nguồn.</t>
  </si>
  <si>
    <t>SEARCH-007</t>
  </si>
  <si>
    <t>Lỗi khi service LLM lỗi</t>
  </si>
  <si>
    <t>Kiểm tra xử lý lỗi phụ thuộc ngoài</t>
  </si>
  <si>
    <t>Tạm cấu hình sai API key hoặc ngắt mạng</t>
  </si>
  <si>
    <t>1. Gửi /query khi LLM không khả dụng</t>
  </si>
  <si>
    <t>API trả lỗi hợp lệ; UI hiển thị lỗi, không trắng màn hình.</t>
  </si>
  <si>
    <t>SEARCH-008</t>
  </si>
  <si>
    <t>Câu hỏi chứa ký tự đặc biệt</t>
  </si>
  <si>
    <t>Kiểm tra tiền xử lý input</t>
  </si>
  <si>
    <t>@@@ Luật??? trợ cấp!!! thất nghiệp ###</t>
  </si>
  <si>
    <t>1. Gửi câu hỏi có nhiều ký tự đặc biệt</t>
  </si>
  <si>
    <t>Hệ thống xử lý được hoặc trả lỗi hợp lệ; không crash.</t>
  </si>
  <si>
    <t>CITE-001</t>
  </si>
  <si>
    <t>FR-04</t>
  </si>
  <si>
    <t>Hiển thị nguồn trong câu trả lời</t>
  </si>
  <si>
    <t>Kiểm tra câu trả lời có hộp nguồn</t>
  </si>
  <si>
    <t>Có câu hỏi tìm được nguồn</t>
  </si>
  <si>
    <t>Câu hỏi pháp luật rõ</t>
  </si>
  <si>
    <t>1. Gửi câu hỏi
2. Quan sát UI phần nguồn</t>
  </si>
  <si>
    <t>UI hiển thị nguồn/căn cứ pháp lý bên dưới câu trả lời.</t>
  </si>
  <si>
    <t>CITE-002</t>
  </si>
  <si>
    <t>Mở rộng/thu gọn nguồn</t>
  </si>
  <si>
    <t>Kiểm tra tương tác UI nguồn</t>
  </si>
  <si>
    <t>Có response có nguồn</t>
  </si>
  <si>
    <t>1. Bấm vùng nguồn/tham khảo nếu UI hỗ trợ
2. Quan sát hiển thị</t>
  </si>
  <si>
    <t>Nguồn được mở/ẩn đúng, không làm mất nội dung câu trả lời.</t>
  </si>
  <si>
    <t>CITE-003</t>
  </si>
  <si>
    <t>Nguồn không trùng lặp bất thường</t>
  </si>
  <si>
    <t>Kiểm tra hiển thị source rõ</t>
  </si>
  <si>
    <t>Có response nhiều nguồn</t>
  </si>
  <si>
    <t>Câu hỏi rộng</t>
  </si>
  <si>
    <t>1. Gửi câu hỏi rộng
2. Kiểm tra danh sách nguồn</t>
  </si>
  <si>
    <t>Nguồn hiển thị rõ ràng, không lặp quá nhiều cùng một tài liệu nếu không cần.</t>
  </si>
  <si>
    <t>CITE-004</t>
  </si>
  <si>
    <t>Câu hỏi ngoài miền không có nguồn giả</t>
  </si>
  <si>
    <t>Kiểm tra không gán nguồn sai</t>
  </si>
  <si>
    <t>Hôm nay thời tiết thế nào?</t>
  </si>
  <si>
    <t>1. Gửi câu hỏi ngoài miền</t>
  </si>
  <si>
    <t>Hệ thống không hiển thị nguồn luật giả cho câu hỏi không thuộc pháp luật.</t>
  </si>
  <si>
    <t>CITE-005</t>
  </si>
  <si>
    <t>Nguồn tài liệu cá nhân</t>
  </si>
  <si>
    <t>Kiểm tra user_sources khi hỏi tài liệu cá nhân</t>
  </si>
  <si>
    <t>Đã upload tài liệu và xử lý ready</t>
  </si>
  <si>
    <t>1. Gửi câu hỏi vào tài liệu cá nhân
2. Kiểm tra user_sources</t>
  </si>
  <si>
    <t>Response có user_sources hoặc referenced_user_refs liên quan tài liệu cá nhân.</t>
  </si>
  <si>
    <t>CITE-006</t>
  </si>
  <si>
    <t>Nguồn vẫn hiển thị sau reload lịch sử</t>
  </si>
  <si>
    <t>Kiểm tra lưu sources vào history</t>
  </si>
  <si>
    <t>Đã hỏi câu có nguồn và đăng nhập</t>
  </si>
  <si>
    <t>1. Hỏi câu có nguồn
2. Reload trang
3. Mở lại hội thoại trong lịch sử</t>
  </si>
  <si>
    <t>Câu trả lời cũ và nguồn được khôi phục từ lịch sử.</t>
  </si>
  <si>
    <t>HIST-001</t>
  </si>
  <si>
    <t>FR-05</t>
  </si>
  <si>
    <t>Tạo lịch sử khi user hỏi</t>
  </si>
  <si>
    <t>Kiểm tra tự động lưu lịch sử</t>
  </si>
  <si>
    <t>Câu hỏi pháp luật</t>
  </si>
  <si>
    <t>1. Gửi /query
2. Gọi GET /history</t>
  </si>
  <si>
    <t>Có bản ghi lịch sử mới chứa query_text, answer_text, sources.</t>
  </si>
  <si>
    <t>HIST-002</t>
  </si>
  <si>
    <t>Danh sách hội thoại nhóm theo conversation</t>
  </si>
  <si>
    <t>Kiểm tra group_by_conversation</t>
  </si>
  <si>
    <t>Có nhiều tin trong một hội thoại</t>
  </si>
  <si>
    <t>GET /history?group_by_conversation=true</t>
  </si>
  <si>
    <t>1. Gửi nhiều câu trong cùng conversation
2. Gọi API history group</t>
  </si>
  <si>
    <t>Danh sách chỉ hiển thị tin đầu hoặc đại diện mỗi conversation.</t>
  </si>
  <si>
    <t>HIST-003</t>
  </si>
  <si>
    <t>Lấy toàn bộ tin nhắn không group</t>
  </si>
  <si>
    <t>Kiểm tra group_by_conversation=false</t>
  </si>
  <si>
    <t>Có nhiều history</t>
  </si>
  <si>
    <t>GET /history?group_by_conversation=false</t>
  </si>
  <si>
    <t>1. Gọi API với group false</t>
  </si>
  <si>
    <t>Response trả các tin nhắn riêng lẻ theo thời gian.</t>
  </si>
  <si>
    <t>HIST-004</t>
  </si>
  <si>
    <t>Mở lại hội thoại</t>
  </si>
  <si>
    <t>Kiểm tra /history/conversation/{id}</t>
  </si>
  <si>
    <t>Có conversation_id hợp lệ</t>
  </si>
  <si>
    <t>conversation_id từ response /query</t>
  </si>
  <si>
    <t>1. Gọi GET /history/conversation/{cid}</t>
  </si>
  <si>
    <t>Trả danh sách tin nhắn thuộc conversation theo thứ tự tăng dần thời gian.</t>
  </si>
  <si>
    <t>HIST-005</t>
  </si>
  <si>
    <t>Xem chi tiết một history item</t>
  </si>
  <si>
    <t>Kiểm tra /history/{history_id}</t>
  </si>
  <si>
    <t>Có history_id thuộc user</t>
  </si>
  <si>
    <t>history_id</t>
  </si>
  <si>
    <t>1. Gọi GET /history/{id}</t>
  </si>
  <si>
    <t>Trả đúng item; có query_text/answer_text/sources.</t>
  </si>
  <si>
    <t>HIST-006</t>
  </si>
  <si>
    <t>Xóa một history item</t>
  </si>
  <si>
    <t>Kiểm tra delete một tin nhắn</t>
  </si>
  <si>
    <t>1. Gọi DELETE /history/{id}
2. Gọi lại GET /history/{id}</t>
  </si>
  <si>
    <t>API trả đã xóa; item không còn truy xuất được.</t>
  </si>
  <si>
    <t>HIST-007</t>
  </si>
  <si>
    <t>Xóa cả conversation</t>
  </si>
  <si>
    <t>Kiểm tra delete_conversation=true</t>
  </si>
  <si>
    <t>Có conversation nhiều tin</t>
  </si>
  <si>
    <t>history_id của tin đầu</t>
  </si>
  <si>
    <t>1. Gọi DELETE /history/{history_id}?delete_conversation=true
2. Gọi GET /history/conversation/{cid}</t>
  </si>
  <si>
    <t>Toàn bộ tin trong conversation bị xóa; API trả 404 hoặc danh sách rỗng.</t>
  </si>
  <si>
    <t>HIST-008</t>
  </si>
  <si>
    <t>User không xem được history của user khác</t>
  </si>
  <si>
    <t>Kiểm tra phân quyền dữ liệu lịch sử</t>
  </si>
  <si>
    <t>Có user A và user B</t>
  </si>
  <si>
    <t>history_id của user A, token user B</t>
  </si>
  <si>
    <t>1. Đăng nhập user B
2. Gọi GET /history/{id của user A}</t>
  </si>
  <si>
    <t>API trả 404/403; không lộ dữ liệu user A.</t>
  </si>
  <si>
    <t>DOC-001</t>
  </si>
  <si>
    <t>FR-06</t>
  </si>
  <si>
    <t>Upload PDF hợp lệ</t>
  </si>
  <si>
    <t>Kiểm tra upload và lập chỉ mục PDF</t>
  </si>
  <si>
    <t>Đã đăng nhập; có file PDF mẫu nhỏ</t>
  </si>
  <si>
    <t>sample.pdf</t>
  </si>
  <si>
    <t>1. Vào upload
2. Chọn PDF
3. Tải lên</t>
  </si>
  <si>
    <t>API trả id, filename, status ready/processing hoàn tất, page_count, chunks_indexed.</t>
  </si>
  <si>
    <t>DOC-002</t>
  </si>
  <si>
    <t>Upload DOCX hợp lệ</t>
  </si>
  <si>
    <t>Kiểm tra upload và lập chỉ mục DOCX</t>
  </si>
  <si>
    <t>Đã đăng nhập; có file DOCX mẫu nhỏ</t>
  </si>
  <si>
    <t>sample.docx</t>
  </si>
  <si>
    <t>1. Upload DOCX
2. Chờ xử lý</t>
  </si>
  <si>
    <t>API trả thông tin tài liệu, status thành công, chunks_indexed &gt; 0 nếu có text.</t>
  </si>
  <si>
    <t>DOC-003</t>
  </si>
  <si>
    <t>Upload ảnh hợp lệ</t>
  </si>
  <si>
    <t>Kiểm tra xử lý file ảnh nếu hệ thống hỗ trợ OCR/extract</t>
  </si>
  <si>
    <t>Đã đăng nhập; có ảnh rõ chữ</t>
  </si>
  <si>
    <t>sample.png/jpeg</t>
  </si>
  <si>
    <t>1. Upload ảnh
2. Quan sát response</t>
  </si>
  <si>
    <t>Hệ thống xử lý được hoặc trả lỗi rõ ràng nếu môi trường thiếu OCR; không crash.</t>
  </si>
  <si>
    <t>DOC-004</t>
  </si>
  <si>
    <t>Upload thiếu file</t>
  </si>
  <si>
    <t>Kiểm tra validate multipart</t>
  </si>
  <si>
    <t>Không chọn file</t>
  </si>
  <si>
    <t>1. Gửi POST /documents/upload không có file</t>
  </si>
  <si>
    <t>API trả lỗi 422/400; không tạo bản ghi tài liệu lỗi vô nghĩa.</t>
  </si>
  <si>
    <t>DOC-005</t>
  </si>
  <si>
    <t>Upload file quá lớn</t>
  </si>
  <si>
    <t>Kiểm tra giới hạn dung lượng</t>
  </si>
  <si>
    <t>File &gt; MAX_UPLOAD_BYTES</t>
  </si>
  <si>
    <t>1. Upload file vượt giới hạn</t>
  </si>
  <si>
    <t>API trả 413 File too large; không lưu file quá giới hạn.</t>
  </si>
  <si>
    <t>DOC-006</t>
  </si>
  <si>
    <t>Danh sách tài liệu</t>
  </si>
  <si>
    <t>Kiểm tra list tài liệu cá nhân</t>
  </si>
  <si>
    <t>Đã upload ít nhất 1 tài liệu</t>
  </si>
  <si>
    <t>Token user hiện tại</t>
  </si>
  <si>
    <t>1. Gọi GET /documents</t>
  </si>
  <si>
    <t>Trả danh sách tài liệu của user hiện tại, gồm id, filename, status, page_count, mime_type.</t>
  </si>
  <si>
    <t>DOC-007</t>
  </si>
  <si>
    <t>Xem/tải file gốc</t>
  </si>
  <si>
    <t>Kiểm tra /documents/{id}/file</t>
  </si>
  <si>
    <t>Có document_id thuộc user</t>
  </si>
  <si>
    <t>document_id</t>
  </si>
  <si>
    <t>1. Gọi GET /documents/{id}/file</t>
  </si>
  <si>
    <t>Trả FileResponse đúng file; trình duyệt có thể preview/tải.</t>
  </si>
  <si>
    <t>DOC-008</t>
  </si>
  <si>
    <t>User không xem file của user khác</t>
  </si>
  <si>
    <t>Kiểm tra phân quyền tài liệu</t>
  </si>
  <si>
    <t>Có user A upload tài liệu; user B đăng nhập</t>
  </si>
  <si>
    <t>document_id của user A</t>
  </si>
  <si>
    <t>1. Đăng nhập user B
2. Gọi GET /documents/{id}/file</t>
  </si>
  <si>
    <t>API trả 404/403; không tải được file của user A.</t>
  </si>
  <si>
    <t>DOC-009</t>
  </si>
  <si>
    <t>Hỏi đáp trên tài liệu cá nhân</t>
  </si>
  <si>
    <t>Kiểm tra user_documents_only</t>
  </si>
  <si>
    <t>Đã upload tài liệu ready</t>
  </si>
  <si>
    <t>user_documents_only=true; user_document_id=&lt;id&gt;</t>
  </si>
  <si>
    <t>1. Hỏi câu liên quan nội dung file
2. Gửi /query với user_documents_only=true</t>
  </si>
  <si>
    <t>Câu trả lời chỉ dựa trên tài liệu cá nhân; response có user_sources/referenced_user_refs.</t>
  </si>
  <si>
    <t>DOC-010</t>
  </si>
  <si>
    <t>Tóm tắt tài liệu</t>
  </si>
  <si>
    <t>Kiểm tra /documents/summarize</t>
  </si>
  <si>
    <t>document_ids=[id], focus='tóm tắt ý chính'</t>
  </si>
  <si>
    <t>1. Gửi POST /documents/summarize</t>
  </si>
  <si>
    <t>Response có summary tiếng Việt, không rỗng.</t>
  </si>
  <si>
    <t>DOC-011</t>
  </si>
  <si>
    <t>Trích xuất thông tin tài liệu</t>
  </si>
  <si>
    <t>Kiểm tra /documents/extract</t>
  </si>
  <si>
    <t>instruction='Trích xuất họ tên, địa chỉ, số giấy tờ nếu có'</t>
  </si>
  <si>
    <t>1. Gửi POST /documents/extract</t>
  </si>
  <si>
    <t>Response có result theo yêu cầu instruction.</t>
  </si>
  <si>
    <t>DOC-012</t>
  </si>
  <si>
    <t>Extract thiếu instruction</t>
  </si>
  <si>
    <t>Kiểm tra validate instruction</t>
  </si>
  <si>
    <t>instruction='   '</t>
  </si>
  <si>
    <t>1. Gửi POST /documents/extract với instruction rỗng</t>
  </si>
  <si>
    <t>API trả 400 instruction is required.</t>
  </si>
  <si>
    <t>DOC-013</t>
  </si>
  <si>
    <t>Xóa tài liệu</t>
  </si>
  <si>
    <t>Kiểm tra delete document và dữ liệu chunk</t>
  </si>
  <si>
    <t>1. Gọi DELETE /documents/{id}
2. Gọi GET /documents
3. Gọi /documents/{id}/file</t>
  </si>
  <si>
    <t>API trả ok=true; tài liệu biến mất khỏi danh sách; file không còn truy xuất được.</t>
  </si>
  <si>
    <t>TMP-001</t>
  </si>
  <si>
    <t>FR-07</t>
  </si>
  <si>
    <t>Xem danh sách template</t>
  </si>
  <si>
    <t>Kiểm tra /procedures/templates</t>
  </si>
  <si>
    <t>Không yêu cầu token? API hiện không yêu cầu token cho list</t>
  </si>
  <si>
    <t>1. Gọi GET /procedures/templates
2. Mở UI danh sách thủ tục</t>
  </si>
  <si>
    <t>Response có templates gồm id, title, description, field_count.</t>
  </si>
  <si>
    <t>TMP-002</t>
  </si>
  <si>
    <t>Tạo session thủ tục</t>
  </si>
  <si>
    <t>Kiểm tra start session</t>
  </si>
  <si>
    <t>Đã đăng nhập; có template_id hợp lệ</t>
  </si>
  <si>
    <t>template_id từ list templates</t>
  </si>
  <si>
    <t>1. Gửi POST /procedures/sessions với template_id</t>
  </si>
  <si>
    <t>Response có session_id, template_id, question đầu tiên, complete=false/true.</t>
  </si>
  <si>
    <t>TMP-003</t>
  </si>
  <si>
    <t>Tạo session với template_id sai</t>
  </si>
  <si>
    <t>Kiểm tra xử lý template không tồn tại</t>
  </si>
  <si>
    <t>template_id=not_exist</t>
  </si>
  <si>
    <t>1. Gửi POST /procedures/sessions</t>
  </si>
  <si>
    <t>API trả lỗi phù hợp; không tạo session rác.</t>
  </si>
  <si>
    <t>TMP-004</t>
  </si>
  <si>
    <t>Xem trạng thái session</t>
  </si>
  <si>
    <t>Kiểm tra GET session</t>
  </si>
  <si>
    <t>Đã tạo session</t>
  </si>
  <si>
    <t>session_id</t>
  </si>
  <si>
    <t>1. Gọi GET /procedures/sessions/{session_id}</t>
  </si>
  <si>
    <t>Response trả session_id, template_id, status, state.</t>
  </si>
  <si>
    <t>TMP-005</t>
  </si>
  <si>
    <t>Gửi câu trả lời từng bước</t>
  </si>
  <si>
    <t>Kiểm tra state machine thu thập dữ liệu</t>
  </si>
  <si>
    <t>Đã tạo session active</t>
  </si>
  <si>
    <t>message='Nguyễn Văn A' hoặc dữ liệu theo câu hỏi</t>
  </si>
  <si>
    <t>1. Gửi POST /procedures/sessions/{id}/message
2. Lặp tới khi complete</t>
  </si>
  <si>
    <t>Hệ thống trả câu hỏi tiếp theo, collected được cập nhật; không nhảy sai bước.</t>
  </si>
  <si>
    <t>TMP-006</t>
  </si>
  <si>
    <t>Hoàn tất session</t>
  </si>
  <si>
    <t>Kiểm tra preview_text khi đủ dữ liệu</t>
  </si>
  <si>
    <t>Đã trả lời đủ field</t>
  </si>
  <si>
    <t>Nhiều message hợp lệ</t>
  </si>
  <si>
    <t>1. Trả lời đến field cuối
2. Kiểm tra response</t>
  </si>
  <si>
    <t>complete=true; preview_text có nội dung biểu mẫu; status session chuyển completed.</t>
  </si>
  <si>
    <t>TMP-007</t>
  </si>
  <si>
    <t>Export DOCX</t>
  </si>
  <si>
    <t>Kiểm tra xuất file DOCX</t>
  </si>
  <si>
    <t>Session đã hoàn tất hoặc có dữ liệu</t>
  </si>
  <si>
    <t>format=docx</t>
  </si>
  <si>
    <t>1. Gọi GET /procedures/sessions/{id}/export?format=docx</t>
  </si>
  <si>
    <t>Trả file DOCX có tên template/procedure; file mở được.</t>
  </si>
  <si>
    <t>TMP-008</t>
  </si>
  <si>
    <t>Export PDF</t>
  </si>
  <si>
    <t>Kiểm tra xuất file PDF</t>
  </si>
  <si>
    <t>Session đã có dữ liệu</t>
  </si>
  <si>
    <t>format=pdf</t>
  </si>
  <si>
    <t>1. Gọi GET /procedures/sessions/{id}/export?format=pdf</t>
  </si>
  <si>
    <t>Trả file PDF hoặc file đúng định dạng được hệ thống hỗ trợ; không lỗi 500.</t>
  </si>
  <si>
    <t>TMP-009</t>
  </si>
  <si>
    <t>Prefill từ tài liệu cá nhân</t>
  </si>
  <si>
    <t>Kiểm tra tự động điền từ file upload</t>
  </si>
  <si>
    <t>Đã upload tài liệu ready có thông tin cá nhân; đã tạo session</t>
  </si>
  <si>
    <t>1. Gọi POST /procedures/sessions/{id}/prefill-from-documents</t>
  </si>
  <si>
    <t>Response có extracted và collected; câu hỏi tiếp theo bỏ qua/bổ sung trường đã có nếu phù hợp.</t>
  </si>
  <si>
    <t>TMP-010</t>
  </si>
  <si>
    <t>Prefill khi chưa có tài liệu</t>
  </si>
  <si>
    <t>Kiểm tra lỗi khi không có text</t>
  </si>
  <si>
    <t>Đã đăng nhập, chưa upload tài liệu ready</t>
  </si>
  <si>
    <t>1. Gọi prefill-from-documents</t>
  </si>
  <si>
    <t>API trả 400 No processed user documents to read from.</t>
  </si>
  <si>
    <t>TMP-011</t>
  </si>
  <si>
    <t>Download mẫu trắng</t>
  </si>
  <si>
    <t>Kiểm tra tải file mẫu gốc</t>
  </si>
  <si>
    <t>Đã đăng nhập; template_id có mapping</t>
  </si>
  <si>
    <t>template_id=khoi_kien_tranh_chap_lao_dong hoặc id có mapping</t>
  </si>
  <si>
    <t>1. Gọi GET /procedures/templates/{template_id}/download-blank</t>
  </si>
  <si>
    <t>Trả file DOC/DOCX mẫu trắng nếu tồn tại; nếu không mapping thì 404 rõ ràng.</t>
  </si>
  <si>
    <t>TMP-012</t>
  </si>
  <si>
    <t>User không truy cập session user khác</t>
  </si>
  <si>
    <t>Kiểm tra phân quyền session</t>
  </si>
  <si>
    <t>User A có session; user B đăng nhập</t>
  </si>
  <si>
    <t>session_id của user A</t>
  </si>
  <si>
    <t>1. Đăng nhập user B
2. Gọi GET/POST/EXPORT session của user A</t>
  </si>
  <si>
    <t>API trả 404/403; không lộ dữ liệu session user A.</t>
  </si>
  <si>
    <t>UI-001</t>
  </si>
  <si>
    <t>FR-08</t>
  </si>
  <si>
    <t>Giao diện login/register</t>
  </si>
  <si>
    <t>Kiểm tra form nhập liệu</t>
  </si>
  <si>
    <t>Frontend đang chạy</t>
  </si>
  <si>
    <t>1. Mở login.html/register.html
2. Quan sát layout</t>
  </si>
  <si>
    <t>Form hiển thị đủ ô nhập và nút thao tác; thông báo lỗi/thành công hiển thị rõ.</t>
  </si>
  <si>
    <t>UI-002</t>
  </si>
  <si>
    <t>Giao diện chat chính</t>
  </si>
  <si>
    <t>Kiểm tra hộp chat và sidebar</t>
  </si>
  <si>
    <t>1. Mở index.html
2. Quan sát UI</t>
  </si>
  <si>
    <t>Có ô nhập câu hỏi, nút gửi, khu vực câu trả lời, sidebar lịch sử/gợi ý nếu đăng nhập.</t>
  </si>
  <si>
    <t>UI-003</t>
  </si>
  <si>
    <t>Hiển thị loading khi gửi câu hỏi</t>
  </si>
  <si>
    <t>Kiểm tra trạng thái chờ</t>
  </si>
  <si>
    <t>Backend phản hồi chậm vừa phải</t>
  </si>
  <si>
    <t>1. Gửi câu hỏi
2. Quan sát UI khi chờ</t>
  </si>
  <si>
    <t>UI có trạng thái đang xử lý; người dùng biết hệ thống đang trả lời.</t>
  </si>
  <si>
    <t>UI-004</t>
  </si>
  <si>
    <t>Hiển thị lỗi API</t>
  </si>
  <si>
    <t>Kiểm tra UX khi backend lỗi</t>
  </si>
  <si>
    <t>Tắt backend hoặc dùng URL sai</t>
  </si>
  <si>
    <t>1. Gửi câu hỏi khi backend không khả dụng</t>
  </si>
  <si>
    <t>UI hiển thị lỗi thân thiện; không trắng màn hình.</t>
  </si>
  <si>
    <t>UI-005</t>
  </si>
  <si>
    <t>Upload file trên UI</t>
  </si>
  <si>
    <t>Kiểm tra chọn file và hiển thị file đính kèm</t>
  </si>
  <si>
    <t>File PDF/DOCX mẫu</t>
  </si>
  <si>
    <t>1. Bấm upload/attach
2. Chọn file
3. Quan sát trạng thái</t>
  </si>
  <si>
    <t>UI hiển thị tên file, trạng thái upload và cho phép hỏi trên file nếu upload thành công.</t>
  </si>
  <si>
    <t>UI-006</t>
  </si>
  <si>
    <t>Sidebar lịch sử</t>
  </si>
  <si>
    <t>Kiểm tra mở/xóa hội thoại từ sidebar</t>
  </si>
  <si>
    <t>Đã có lịch sử</t>
  </si>
  <si>
    <t>1. Đăng nhập
2. Quan sát sidebar
3. Bấm một hội thoại
4. Xóa một hội thoại</t>
  </si>
  <si>
    <t>Sidebar hiển thị đúng hội thoại; mở lại được nội dung; xóa thì biến mất.</t>
  </si>
  <si>
    <t>UI-007</t>
  </si>
  <si>
    <t>Dark mode/sáng tối</t>
  </si>
  <si>
    <t>Kiểm tra đổi giao diện</t>
  </si>
  <si>
    <t>1. Bấm nút đổi theme nếu có
2. Refresh trang</t>
  </si>
  <si>
    <t>Theme đổi đúng; nếu có lưu setting thì refresh vẫn giữ trạng thái.</t>
  </si>
  <si>
    <t>UI-008</t>
  </si>
  <si>
    <t>Responsive mobile</t>
  </si>
  <si>
    <t>Kiểm tra giao diện trên màn hình nhỏ</t>
  </si>
  <si>
    <t>Trình duyệt devtools mobile</t>
  </si>
  <si>
    <t>Viewport 390x844</t>
  </si>
  <si>
    <t>1. Mở trang chính trên viewport mobile
2. Thao tác hỏi đáp/upload</t>
  </si>
  <si>
    <t>Giao diện không vỡ nghiêm trọng; các nút chính vẫn thao tác được.</t>
  </si>
  <si>
    <t>UI-009</t>
  </si>
  <si>
    <t>Hiển thị nguồn và hành động tải biểu mẫu</t>
  </si>
  <si>
    <t>Kiểm tra nút nguồn/export trên UI</t>
  </si>
  <si>
    <t>Có câu trả lời có nguồn hoặc session hoàn tất</t>
  </si>
  <si>
    <t>1. Hỏi câu có nguồn
2. Hoàn tất procedure
3. Quan sát các nút nguồn/export</t>
  </si>
  <si>
    <t>Nguồn và nút tải DOCX/PDF hiển thị đúng vị trí, bấm được.</t>
  </si>
  <si>
    <t>Loại dữ liệu</t>
  </si>
  <si>
    <t>Giá trị mẫu</t>
  </si>
  <si>
    <t>Base URL backend</t>
  </si>
  <si>
    <t>http://localhost:8002</t>
  </si>
  <si>
    <t>Theo frontend/js/api.js trong code</t>
  </si>
  <si>
    <t>Base URL frontend</t>
  </si>
  <si>
    <t>http://localhost:8088</t>
  </si>
  <si>
    <t>Theo Docker Compose mapping trong frontend/js/api.js</t>
  </si>
  <si>
    <t>User 1 username</t>
  </si>
  <si>
    <t>tester001</t>
  </si>
  <si>
    <t>Dùng cho test đăng nhập chính</t>
  </si>
  <si>
    <t>User 1 email</t>
  </si>
  <si>
    <t>tester001@example.com</t>
  </si>
  <si>
    <t>Email test</t>
  </si>
  <si>
    <t>User 1 password</t>
  </si>
  <si>
    <t>Test@123456</t>
  </si>
  <si>
    <t>Không dùng mật khẩu thật</t>
  </si>
  <si>
    <t>User 2 username</t>
  </si>
  <si>
    <t>tester002</t>
  </si>
  <si>
    <t>Dùng kiểm thử phân quyền cross-user</t>
  </si>
  <si>
    <t>User 2 email</t>
  </si>
  <si>
    <t>tester002@example.com</t>
  </si>
  <si>
    <t>User 2 password</t>
  </si>
  <si>
    <t>Câu hỏi pháp luật giao thông</t>
  </si>
  <si>
    <t>Dùng cho chat/search/citation</t>
  </si>
  <si>
    <t>Câu hỏi pháp luật lao động</t>
  </si>
  <si>
    <t>Dùng test không bịa nguồn luật</t>
  </si>
  <si>
    <t>File test PDF</t>
  </si>
  <si>
    <t>File nhỏ, có text rõ</t>
  </si>
  <si>
    <t>File test DOCX</t>
  </si>
  <si>
    <t>Template ID mẫu</t>
  </si>
  <si>
    <t>khoi_kien_tranh_chap_lao_dong</t>
  </si>
  <si>
    <t>Có mapping download blank trong code; nếu list templates khác thì dùng id từ API</t>
  </si>
  <si>
    <t>Nhóm yêu cầu chức năng</t>
  </si>
  <si>
    <t>Mô tả kiểm thử</t>
  </si>
  <si>
    <t>Test case liên quan</t>
  </si>
  <si>
    <t>Xác thực người dùng</t>
  </si>
  <si>
    <t>Đăng ký, đăng nhập, xác thực token, đổi username, đổi mật khẩu, xóa tài khoản.</t>
  </si>
  <si>
    <t>AUTH-001 đến AUTH-011, PROF-001 đến PROF-006</t>
  </si>
  <si>
    <t>Cơ chế hỏi-đáp</t>
  </si>
  <si>
    <t>Người dùng gửi câu hỏi pháp luật/ngôn ngữ tự nhiên và nhận câu trả lời.</t>
  </si>
  <si>
    <t>CHAT-001 đến CHAT-010</t>
  </si>
  <si>
    <t>Truy xuất văn bản pháp luật</t>
  </si>
  <si>
    <t>Hệ thống truy xuất văn bản liên quan bằng BM25/Vector/Hybrid và trả nguồn.</t>
  </si>
  <si>
    <t>SEARCH-001 đến SEARCH-008</t>
  </si>
  <si>
    <t>Trích dẫn nguồn</t>
  </si>
  <si>
    <t>Câu trả lời hiển thị nguồn luật, tài liệu tham chiếu, mã tài liệu hoặc metadata.</t>
  </si>
  <si>
    <t>CITE-001 đến CITE-006</t>
  </si>
  <si>
    <t>Quản lý lịch sử hội thoại</t>
  </si>
  <si>
    <t>Lưu, xem, mở lại, xóa tin nhắn/cuộc hội thoại.</t>
  </si>
  <si>
    <t>HIST-001 đến HIST-008</t>
  </si>
  <si>
    <t>Quản lý và khai thác tài liệu cá nhân</t>
  </si>
  <si>
    <t>Upload, xem danh sách, hỏi đáp, tóm tắt, trích xuất, tải/xóa tài liệu.</t>
  </si>
  <si>
    <t>DOC-001 đến DOC-013</t>
  </si>
  <si>
    <t>Xem template, tạo session, trả lời từng bước, prefill từ tài liệu, export DOCX/PDF.</t>
  </si>
  <si>
    <t>TMP-001 đến TMP-012</t>
  </si>
  <si>
    <t>Giao diện người dùng</t>
  </si>
  <si>
    <t>Dark mode, responsive, sidebar, hiển thị trạng thái xử lý/lỗi.</t>
  </si>
  <si>
    <t>UI-001 đến UI-009</t>
  </si>
  <si>
    <t>Nhóm</t>
  </si>
  <si>
    <t>Method</t>
  </si>
  <si>
    <t>Endpoint</t>
  </si>
  <si>
    <t>Có cần token</t>
  </si>
  <si>
    <t>Body/Payload mẫu</t>
  </si>
  <si>
    <t>Health</t>
  </si>
  <si>
    <t>GET</t>
  </si>
  <si>
    <t>/health</t>
  </si>
  <si>
    <t>Không</t>
  </si>
  <si>
    <t>{"status":"ok"}</t>
  </si>
  <si>
    <t>Auth</t>
  </si>
  <si>
    <t>POST</t>
  </si>
  <si>
    <t>/users/register</t>
  </si>
  <si>
    <t>{"username":"tester001","email":"tester001@example.com","password":"Test@123456"}</t>
  </si>
  <si>
    <t>Tạo user mới</t>
  </si>
  <si>
    <t>/users/token</t>
  </si>
  <si>
    <t>x-www-form-urlencoded: username, password</t>
  </si>
  <si>
    <t>Trả access_token</t>
  </si>
  <si>
    <t>/auth/verify</t>
  </si>
  <si>
    <t>Có</t>
  </si>
  <si>
    <t>status=valid</t>
  </si>
  <si>
    <t>/users/me</t>
  </si>
  <si>
    <t>Thông tin user hiện tại</t>
  </si>
  <si>
    <t>Profile</t>
  </si>
  <si>
    <t>/users/update-username</t>
  </si>
  <si>
    <t>{"new_username":"tester001_new"}</t>
  </si>
  <si>
    <t>Đổi username</t>
  </si>
  <si>
    <t>/users/change-password</t>
  </si>
  <si>
    <t>{"old_password":"Test@123456","new_password":"New@123456"}</t>
  </si>
  <si>
    <t>Đổi mật khẩu</t>
  </si>
  <si>
    <t>Chat</t>
  </si>
  <si>
    <t>/query</t>
  </si>
  <si>
    <t>Tùy chọn</t>
  </si>
  <si>
    <t>{"query":"Đi xe máy không đội mũ bảo hiểm bị phạt bao nhiêu?","include_user_documents":true}</t>
  </si>
  <si>
    <t>Trả answer, sources</t>
  </si>
  <si>
    <t>/history?skip=0&amp;limit=100&amp;group_by_conversation=true</t>
  </si>
  <si>
    <t>Danh sách hội thoại</t>
  </si>
  <si>
    <t>/history/conversation/{conversation_id}</t>
  </si>
  <si>
    <t>Tin nhắn trong hội thoại</t>
  </si>
  <si>
    <t>DELETE</t>
  </si>
  <si>
    <t>/history/{history_id}?delete_conversation=true</t>
  </si>
  <si>
    <t>Xóa hội thoại</t>
  </si>
  <si>
    <t>/documents/upload</t>
  </si>
  <si>
    <t>multipart/form-data: file</t>
  </si>
  <si>
    <t>Upload và index file</t>
  </si>
  <si>
    <t>/documents</t>
  </si>
  <si>
    <t>/documents/{document_id}/file</t>
  </si>
  <si>
    <t>Trả file gốc</t>
  </si>
  <si>
    <t>/documents/summarize</t>
  </si>
  <si>
    <t>{"document_ids":[1],"focus":"tóm tắt ý chính"}</t>
  </si>
  <si>
    <t>Trả summary</t>
  </si>
  <si>
    <t>/documents/extract</t>
  </si>
  <si>
    <t>{"document_ids":[1],"instruction":"Trích xuất họ tên, địa chỉ"}</t>
  </si>
  <si>
    <t>Trả result</t>
  </si>
  <si>
    <t>/documents/{document_id}</t>
  </si>
  <si>
    <t>Procedures</t>
  </si>
  <si>
    <t>/procedures/templates</t>
  </si>
  <si>
    <t>Danh sách template</t>
  </si>
  <si>
    <t>/procedures/sessions</t>
  </si>
  <si>
    <t>{"template_id":"&lt;template_id&gt;"}</t>
  </si>
  <si>
    <t>Tạo session</t>
  </si>
  <si>
    <t>/procedures/sessions/{session_id}</t>
  </si>
  <si>
    <t>Trạng thái session</t>
  </si>
  <si>
    <t>/procedures/sessions/{session_id}/message</t>
  </si>
  <si>
    <t>{"message":"Nguyễn Văn A"}</t>
  </si>
  <si>
    <t>Câu hỏi tiếp theo/complete</t>
  </si>
  <si>
    <t>/procedures/sessions/{session_id}/prefill-from-documents</t>
  </si>
  <si>
    <t>Prefill từ tài liệu</t>
  </si>
  <si>
    <t>/procedures/sessions/{session_id}/export?format=docx</t>
  </si>
  <si>
    <t>Tải DOCX</t>
  </si>
  <si>
    <t>/procedures/templates/{template_id}/download-blank</t>
  </si>
  <si>
    <t>Tải mẫu trắng</t>
  </si>
  <si>
    <t>Bug_ID</t>
  </si>
  <si>
    <t>Ngày</t>
  </si>
  <si>
    <t>Mô tả lỗi</t>
  </si>
  <si>
    <t>Bước tái hiện</t>
  </si>
  <si>
    <t>Expected Result</t>
  </si>
  <si>
    <t>Severity</t>
  </si>
  <si>
    <t>Người phụ trách</t>
  </si>
  <si>
    <t>BUG-001</t>
  </si>
  <si>
    <t>Medium</t>
  </si>
  <si>
    <t>Open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</si>
  <si>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</si>
  <si>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</si>
  <si>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</si>
  <si>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</si>
  <si>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</si>
  <si>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</si>
  <si>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</si>
  <si>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</si>
  <si>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</si>
  <si>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</si>
  <si>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</si>
  <si>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</si>
  <si>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</si>
  <si>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</si>
  <si>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</si>
  <si>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</si>
  <si>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</si>
  <si>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</si>
  <si>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</si>
  <si>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HƯỚNG DẪN SỬ DỤNG FILE TEST CASE CHỨC NĂNG</t>
  </si>
  <si>
    <t>Mục đích</t>
  </si>
  <si>
    <t>File này chỉ phục vụ kiểm thử yêu cầu chức năng của hệ thống Legal RAG Chatbot, không bao gồm đánh giá định lượng AI/RAG như Recall@k, MRR, nDCG.</t>
  </si>
  <si>
    <t>Cách dùng</t>
  </si>
  <si>
    <t>Chạy từng test case trong sheet Functional_TestCases, ghi Actual Result và chọn Status: Not Run / Pass / Fail / Blocked / N/A.</t>
  </si>
  <si>
    <t>Phạm vi</t>
  </si>
  <si>
    <t>Bám theo các nhóm yêu cầu chức năng trong báo cáo: hỏi-đáp, truy xuất văn bản pháp luật, tài liệu cá nhân, Template Wizard, trích dẫn nguồn, giao diện người dùng, xác thực và lịch sử hội thoại.</t>
  </si>
  <si>
    <t>Quy ước</t>
  </si>
  <si>
    <t>Test case có Priority P0 là luồng bắt buộc phải pass khi demo; P1 là chức năng quan trọng; P2 là tình huống phụ/negative.</t>
  </si>
  <si>
    <t>Base URL gợi ý</t>
  </si>
  <si>
    <t>http://localhost:8002 cho backend; http://localhost:8088 hoặc frontend dev server cho giao diện.</t>
  </si>
  <si>
    <t>Ngày tạo</t>
  </si>
  <si>
    <t>2026-05-19 12:16</t>
  </si>
  <si>
    <t>Hệ thống yêu cầu đăng nhập</t>
  </si>
  <si>
    <t>Không trả lời được do không tìm thấy 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</si>
</sst>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5394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wrapText="1"/>
    </xf>
    <xf numFmtId="10" fontId="3" fillId="4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CE5CD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oduleSummaryTable" displayName="ModuleSummaryTable" ref="A7:F16">
  <tableColumns count="6">
    <tableColumn id="1" xr3:uid="{00000000-0010-0000-0000-000001000000}" name="Theo module"/>
    <tableColumn id="2" xr3:uid="{00000000-0010-0000-0000-000002000000}" name="Tổng"/>
    <tableColumn id="3" xr3:uid="{00000000-0010-0000-0000-000003000000}" name="Pass"/>
    <tableColumn id="4" xr3:uid="{00000000-0010-0000-0000-000004000000}" name="Fail"/>
    <tableColumn id="5" xr3:uid="{00000000-0010-0000-0000-000005000000}" name="Blocked"/>
    <tableColumn id="6" xr3:uid="{00000000-0010-0000-0000-000006000000}" name="Not Ru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unctionalTestCasesTable" displayName="FunctionalTestCasesTable" ref="A1:L84">
  <tableColumns count="12">
    <tableColumn id="1" xr3:uid="{00000000-0010-0000-0100-000001000000}" name="TC_ID"/>
    <tableColumn id="2" xr3:uid="{00000000-0010-0000-0100-000002000000}" name="Req_ID"/>
    <tableColumn id="3" xr3:uid="{00000000-0010-0000-0100-000003000000}" name="Module"/>
    <tableColumn id="4" xr3:uid="{00000000-0010-0000-0100-000004000000}" name="Chức năng"/>
    <tableColumn id="5" xr3:uid="{00000000-0010-0000-0100-000005000000}" name="Mục tiêu kiểm thử"/>
    <tableColumn id="6" xr3:uid="{00000000-0010-0000-0100-000006000000}" name="Tiền điều kiện"/>
    <tableColumn id="7" xr3:uid="{00000000-0010-0000-0100-000007000000}" name="Dữ liệu test"/>
    <tableColumn id="8" xr3:uid="{00000000-0010-0000-0100-000008000000}" name="Các bước thực hiện"/>
    <tableColumn id="9" xr3:uid="{00000000-0010-0000-0100-000009000000}" name="Kết quả mong đợi"/>
    <tableColumn id="11" xr3:uid="{00000000-0010-0000-0100-00000B000000}" name="Status"/>
    <tableColumn id="12" xr3:uid="{00000000-0010-0000-0100-00000C000000}" name="Priority"/>
    <tableColumn id="15" xr3:uid="{00000000-0010-0000-0100-00000F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estDataTable" displayName="TestDataTable" ref="A1:C15">
  <tableColumns count="3">
    <tableColumn id="1" xr3:uid="{00000000-0010-0000-0200-000001000000}" name="Loại dữ liệu"/>
    <tableColumn id="2" xr3:uid="{00000000-0010-0000-0200-000002000000}" name="Giá trị mẫu"/>
    <tableColumn id="3" xr3:uid="{00000000-0010-0000-0200-000003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appingYeuCauTable" displayName="MappingYeuCauTable" ref="A1:D9">
  <tableColumns count="4">
    <tableColumn id="1" xr3:uid="{00000000-0010-0000-0300-000001000000}" name="Req_ID"/>
    <tableColumn id="2" xr3:uid="{00000000-0010-0000-0300-000002000000}" name="Nhóm yêu cầu chức năng"/>
    <tableColumn id="3" xr3:uid="{00000000-0010-0000-0300-000003000000}" name="Mô tả kiểm thử"/>
    <tableColumn id="4" xr3:uid="{00000000-0010-0000-0300-000004000000}" name="Test case liên qu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APIChecklistTable" displayName="APIChecklistTable" ref="A1:F25">
  <tableColumns count="6">
    <tableColumn id="1" xr3:uid="{00000000-0010-0000-0400-000001000000}" name="Nhóm"/>
    <tableColumn id="2" xr3:uid="{00000000-0010-0000-0400-000002000000}" name="Method"/>
    <tableColumn id="3" xr3:uid="{00000000-0010-0000-0400-000003000000}" name="Endpoint"/>
    <tableColumn id="4" xr3:uid="{00000000-0010-0000-0400-000004000000}" name="Có cần token"/>
    <tableColumn id="5" xr3:uid="{00000000-0010-0000-0400-000005000000}" name="Body/Payload mẫu"/>
    <tableColumn id="6" xr3:uid="{00000000-0010-0000-0400-000006000000}" name="Kết quả mong đợ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ugLogTable" displayName="BugLogTable" ref="A1:L21">
  <tableColumns count="12">
    <tableColumn id="1" xr3:uid="{00000000-0010-0000-0500-000001000000}" name="Bug_ID"/>
    <tableColumn id="2" xr3:uid="{00000000-0010-0000-0500-000002000000}" name="Ngày"/>
    <tableColumn id="3" xr3:uid="{00000000-0010-0000-0500-000003000000}" name="TC_ID"/>
    <tableColumn id="4" xr3:uid="{00000000-0010-0000-0500-000004000000}" name="Module"/>
    <tableColumn id="5" xr3:uid="{00000000-0010-0000-0500-000005000000}" name="Mô tả lỗi"/>
    <tableColumn id="6" xr3:uid="{00000000-0010-0000-0500-000006000000}" name="Bước tái hiện"/>
    <tableColumn id="7" xr3:uid="{00000000-0010-0000-0500-000007000000}" name="Actual Result"/>
    <tableColumn id="8" xr3:uid="{00000000-0010-0000-0500-000008000000}" name="Expected Result"/>
    <tableColumn id="9" xr3:uid="{00000000-0010-0000-0500-000009000000}" name="Severity"/>
    <tableColumn id="10" xr3:uid="{00000000-0010-0000-0500-00000A000000}" name="Status"/>
    <tableColumn id="11" xr3:uid="{00000000-0010-0000-0500-00000B000000}" name="Người phụ trách"/>
    <tableColumn id="12" xr3:uid="{00000000-0010-0000-0500-00000C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/>
  </sheetViews>
  <sheetFormatPr defaultRowHeight="13.8"/>
  <cols>
    <col min="1" max="6" width="18" customWidth="1"/>
  </cols>
  <sheetData>
    <row r="1" spans="1:15">
      <c r="A1" s="8" t="s">
        <v>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</row>
    <row r="2" spans="1:15">
      <c r="A2" s="6" t="s">
        <v>1</v>
      </c>
      <c r="B2" s="6">
        <f>COUNTA(Functional_TestCases!A2:A84)</f>
        <v>83</v>
      </c>
      <c r="C2" s="6"/>
      <c r="D2" s="6" t="s">
        <v>2</v>
      </c>
      <c r="E2" s="6" t="s">
        <v>3</v>
      </c>
      <c r="F2" s="6"/>
    </row>
    <row r="3" spans="1:15">
      <c r="A3" s="6" t="s">
        <v>4</v>
      </c>
      <c r="B3" s="6">
        <f>COUNTIF(Functional_TestCases!J2:J84,"Pass")</f>
        <v>82</v>
      </c>
      <c r="C3" s="6"/>
      <c r="D3" s="6" t="s">
        <v>5</v>
      </c>
      <c r="E3" s="6">
        <f>COUNTIF(Functional_TestCases!J2:J84,"Fail")</f>
        <v>1</v>
      </c>
      <c r="F3" s="6"/>
    </row>
    <row r="4" spans="1:15">
      <c r="A4" s="6" t="s">
        <v>6</v>
      </c>
      <c r="B4" s="6">
        <f>COUNTIF(Functional_TestCases!J2:J84,"Blocked")</f>
        <v>0</v>
      </c>
      <c r="C4" s="6"/>
      <c r="D4" s="6" t="s">
        <v>7</v>
      </c>
      <c r="E4" s="6">
        <f>COUNTIF(Functional_TestCases!J2:J84,"Not Run")</f>
        <v>0</v>
      </c>
      <c r="F4" s="6"/>
    </row>
    <row r="5" spans="1:15">
      <c r="A5" s="6" t="s">
        <v>8</v>
      </c>
      <c r="B5" s="6">
        <f>COUNTIF(Functional_TestCases!J2:J84,"N/A")</f>
        <v>0</v>
      </c>
      <c r="C5" s="6"/>
      <c r="D5" s="6" t="s">
        <v>9</v>
      </c>
      <c r="E5" s="7">
        <f>IF(B2=0,0,B3/B2)</f>
        <v>0.98795180722891562</v>
      </c>
      <c r="F5" s="6"/>
    </row>
    <row r="7" spans="1:15">
      <c r="A7" s="1" t="s">
        <v>10</v>
      </c>
      <c r="B7" s="1" t="s">
        <v>11</v>
      </c>
      <c r="C7" s="1" t="s">
        <v>4</v>
      </c>
      <c r="D7" s="1" t="s">
        <v>5</v>
      </c>
      <c r="E7" s="1" t="s">
        <v>6</v>
      </c>
      <c r="F7" s="1" t="s">
        <v>7</v>
      </c>
    </row>
    <row r="8" spans="1:15">
      <c r="A8" s="3" t="s">
        <v>12</v>
      </c>
      <c r="B8" s="3">
        <f>COUNTIF(Functional_TestCases!C:C,A8)</f>
        <v>11</v>
      </c>
      <c r="C8" s="3">
        <f>COUNTIFS(Functional_TestCases!C:C,A8,Functional_TestCases!J:J,"Pass")</f>
        <v>11</v>
      </c>
      <c r="D8" s="3">
        <f>COUNTIFS(Functional_TestCases!C:C,A8,Functional_TestCases!J:J,"Fail")</f>
        <v>0</v>
      </c>
      <c r="E8" s="3">
        <f>COUNTIFS(Functional_TestCases!C:C,A8,Functional_TestCases!J:J,"Blocked")</f>
        <v>0</v>
      </c>
      <c r="F8" s="3">
        <f>COUNTIFS(Functional_TestCases!C:C,A8,Functional_TestCases!J:J,"Not Run")</f>
        <v>0</v>
      </c>
    </row>
    <row r="9" spans="1:15">
      <c r="A9" s="3" t="s">
        <v>13</v>
      </c>
      <c r="B9" s="3">
        <f>COUNTIF(Functional_TestCases!C:C,A9)</f>
        <v>10</v>
      </c>
      <c r="C9" s="3">
        <f>COUNTIFS(Functional_TestCases!C:C,A9,Functional_TestCases!J:J,"Pass")</f>
        <v>10</v>
      </c>
      <c r="D9" s="3">
        <f>COUNTIFS(Functional_TestCases!C:C,A9,Functional_TestCases!J:J,"Fail")</f>
        <v>0</v>
      </c>
      <c r="E9" s="3">
        <f>COUNTIFS(Functional_TestCases!C:C,A9,Functional_TestCases!J:J,"Blocked")</f>
        <v>0</v>
      </c>
      <c r="F9" s="3">
        <f>COUNTIFS(Functional_TestCases!C:C,A9,Functional_TestCases!J:J,"Not Run")</f>
        <v>0</v>
      </c>
    </row>
    <row r="10" spans="1:15">
      <c r="A10" s="3" t="s">
        <v>14</v>
      </c>
      <c r="B10" s="3">
        <f>COUNTIF(Functional_TestCases!C:C,A10)</f>
        <v>6</v>
      </c>
      <c r="C10" s="3">
        <f>COUNTIFS(Functional_TestCases!C:C,A10,Functional_TestCases!J:J,"Pass")</f>
        <v>6</v>
      </c>
      <c r="D10" s="3">
        <f>COUNTIFS(Functional_TestCases!C:C,A10,Functional_TestCases!J:J,"Fail")</f>
        <v>0</v>
      </c>
      <c r="E10" s="3">
        <f>COUNTIFS(Functional_TestCases!C:C,A10,Functional_TestCases!J:J,"Blocked")</f>
        <v>0</v>
      </c>
      <c r="F10" s="3">
        <f>COUNTIFS(Functional_TestCases!C:C,A10,Functional_TestCases!J:J,"Not Run")</f>
        <v>0</v>
      </c>
    </row>
    <row r="11" spans="1:15">
      <c r="A11" s="3" t="s">
        <v>15</v>
      </c>
      <c r="B11" s="3">
        <f>COUNTIF(Functional_TestCases!C:C,A11)</f>
        <v>13</v>
      </c>
      <c r="C11" s="3">
        <f>COUNTIFS(Functional_TestCases!C:C,A11,Functional_TestCases!J:J,"Pass")</f>
        <v>13</v>
      </c>
      <c r="D11" s="3">
        <f>COUNTIFS(Functional_TestCases!C:C,A11,Functional_TestCases!J:J,"Fail")</f>
        <v>0</v>
      </c>
      <c r="E11" s="3">
        <f>COUNTIFS(Functional_TestCases!C:C,A11,Functional_TestCases!J:J,"Blocked")</f>
        <v>0</v>
      </c>
      <c r="F11" s="3">
        <f>COUNTIFS(Functional_TestCases!C:C,A11,Functional_TestCases!J:J,"Not Run")</f>
        <v>0</v>
      </c>
    </row>
    <row r="12" spans="1:15">
      <c r="A12" s="3" t="s">
        <v>16</v>
      </c>
      <c r="B12" s="3">
        <f>COUNTIF(Functional_TestCases!C:C,A12)</f>
        <v>9</v>
      </c>
      <c r="C12" s="3">
        <f>COUNTIFS(Functional_TestCases!C:C,A12,Functional_TestCases!J:J,"Pass")</f>
        <v>9</v>
      </c>
      <c r="D12" s="3">
        <f>COUNTIFS(Functional_TestCases!C:C,A12,Functional_TestCases!J:J,"Fail")</f>
        <v>0</v>
      </c>
      <c r="E12" s="3">
        <f>COUNTIFS(Functional_TestCases!C:C,A12,Functional_TestCases!J:J,"Blocked")</f>
        <v>0</v>
      </c>
      <c r="F12" s="3">
        <f>COUNTIFS(Functional_TestCases!C:C,A12,Functional_TestCases!J:J,"Not Run")</f>
        <v>0</v>
      </c>
    </row>
    <row r="13" spans="1:15">
      <c r="A13" s="3" t="s">
        <v>17</v>
      </c>
      <c r="B13" s="3">
        <f>COUNTIF(Functional_TestCases!C:C,A13)</f>
        <v>8</v>
      </c>
      <c r="C13" s="3">
        <f>COUNTIFS(Functional_TestCases!C:C,A13,Functional_TestCases!J:J,"Pass")</f>
        <v>8</v>
      </c>
      <c r="D13" s="3">
        <f>COUNTIFS(Functional_TestCases!C:C,A13,Functional_TestCases!J:J,"Fail")</f>
        <v>0</v>
      </c>
      <c r="E13" s="3">
        <f>COUNTIFS(Functional_TestCases!C:C,A13,Functional_TestCases!J:J,"Blocked")</f>
        <v>0</v>
      </c>
      <c r="F13" s="3">
        <f>COUNTIFS(Functional_TestCases!C:C,A13,Functional_TestCases!J:J,"Not Run")</f>
        <v>0</v>
      </c>
    </row>
    <row r="14" spans="1:15">
      <c r="A14" s="3" t="s">
        <v>18</v>
      </c>
      <c r="B14" s="3">
        <f>COUNTIF(Functional_TestCases!C:C,A14)</f>
        <v>8</v>
      </c>
      <c r="C14" s="3">
        <f>COUNTIFS(Functional_TestCases!C:C,A14,Functional_TestCases!J:J,"Pass")</f>
        <v>7</v>
      </c>
      <c r="D14" s="3">
        <f>COUNTIFS(Functional_TestCases!C:C,A14,Functional_TestCases!J:J,"Fail")</f>
        <v>1</v>
      </c>
      <c r="E14" s="3">
        <f>COUNTIFS(Functional_TestCases!C:C,A14,Functional_TestCases!J:J,"Blocked")</f>
        <v>0</v>
      </c>
      <c r="F14" s="3">
        <f>COUNTIFS(Functional_TestCases!C:C,A14,Functional_TestCases!J:J,"Not Run")</f>
        <v>0</v>
      </c>
    </row>
    <row r="15" spans="1:15">
      <c r="A15" s="3" t="s">
        <v>19</v>
      </c>
      <c r="B15" s="3">
        <f>COUNTIF(Functional_TestCases!C:C,A15)</f>
        <v>12</v>
      </c>
      <c r="C15" s="3">
        <f>COUNTIFS(Functional_TestCases!C:C,A15,Functional_TestCases!J:J,"Pass")</f>
        <v>12</v>
      </c>
      <c r="D15" s="3">
        <f>COUNTIFS(Functional_TestCases!C:C,A15,Functional_TestCases!J:J,"Fail")</f>
        <v>0</v>
      </c>
      <c r="E15" s="3">
        <f>COUNTIFS(Functional_TestCases!C:C,A15,Functional_TestCases!J:J,"Blocked")</f>
        <v>0</v>
      </c>
      <c r="F15" s="3">
        <f>COUNTIFS(Functional_TestCases!C:C,A15,Functional_TestCases!J:J,"Not Run")</f>
        <v>0</v>
      </c>
    </row>
    <row r="16" spans="1:15">
      <c r="A16" s="3" t="s">
        <v>20</v>
      </c>
      <c r="B16" s="3">
        <f>COUNTIF(Functional_TestCases!C:C,A16)</f>
        <v>6</v>
      </c>
      <c r="C16" s="3">
        <f>COUNTIFS(Functional_TestCases!C:C,A16,Functional_TestCases!J:J,"Pass")</f>
        <v>6</v>
      </c>
      <c r="D16" s="3">
        <f>COUNTIFS(Functional_TestCases!C:C,A16,Functional_TestCases!J:J,"Fail")</f>
        <v>0</v>
      </c>
      <c r="E16" s="3">
        <f>COUNTIFS(Functional_TestCases!C:C,A16,Functional_TestCases!J:J,"Blocked")</f>
        <v>0</v>
      </c>
      <c r="F16" s="3">
        <f>COUNTIFS(Functional_TestCases!C:C,A16,Functional_TestCases!J:J,"Not Run")</f>
        <v>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tabSelected="1" topLeftCell="G1" workbookViewId="0">
      <selection activeCell="J66" sqref="J66"/>
    </sheetView>
  </sheetViews>
  <sheetFormatPr defaultRowHeight="13.8"/>
  <cols>
    <col min="1" max="1" width="12" customWidth="1"/>
    <col min="2" max="2" width="10" customWidth="1"/>
    <col min="3" max="3" width="18" customWidth="1"/>
    <col min="4" max="4" width="24" customWidth="1"/>
    <col min="5" max="5" width="32" customWidth="1"/>
    <col min="6" max="6" width="28" customWidth="1"/>
    <col min="7" max="7" width="32" customWidth="1"/>
    <col min="8" max="9" width="42" customWidth="1"/>
    <col min="10" max="10" width="12" customWidth="1"/>
    <col min="11" max="11" width="10" customWidth="1"/>
    <col min="12" max="12" width="24" customWidth="1"/>
  </cols>
  <sheetData>
    <row r="1" spans="1:12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31</v>
      </c>
      <c r="K1" s="4" t="s">
        <v>32</v>
      </c>
      <c r="L1" s="4" t="s">
        <v>33</v>
      </c>
    </row>
    <row r="2" spans="1:12" ht="41.4">
      <c r="A2" s="5" t="s">
        <v>34</v>
      </c>
      <c r="B2" s="5" t="s">
        <v>35</v>
      </c>
      <c r="C2" s="5" t="s">
        <v>12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</v>
      </c>
      <c r="K2" s="5" t="s">
        <v>42</v>
      </c>
      <c r="L2" s="5"/>
    </row>
    <row r="3" spans="1:12" ht="27.6">
      <c r="A3" s="5" t="s">
        <v>43</v>
      </c>
      <c r="B3" s="5" t="s">
        <v>35</v>
      </c>
      <c r="C3" s="5" t="s">
        <v>12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4</v>
      </c>
      <c r="K3" s="5" t="s">
        <v>50</v>
      </c>
      <c r="L3" s="5"/>
    </row>
    <row r="4" spans="1:12" ht="27.6">
      <c r="A4" s="5" t="s">
        <v>51</v>
      </c>
      <c r="B4" s="5" t="s">
        <v>35</v>
      </c>
      <c r="C4" s="5" t="s">
        <v>12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4</v>
      </c>
      <c r="K4" s="5" t="s">
        <v>50</v>
      </c>
      <c r="L4" s="5"/>
    </row>
    <row r="5" spans="1:12" ht="41.4">
      <c r="A5" s="5" t="s">
        <v>58</v>
      </c>
      <c r="B5" s="5" t="s">
        <v>35</v>
      </c>
      <c r="C5" s="5" t="s">
        <v>12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4</v>
      </c>
      <c r="K5" s="5" t="s">
        <v>50</v>
      </c>
      <c r="L5" s="5"/>
    </row>
    <row r="6" spans="1:12" ht="27.6">
      <c r="A6" s="5" t="s">
        <v>65</v>
      </c>
      <c r="B6" s="5" t="s">
        <v>35</v>
      </c>
      <c r="C6" s="5" t="s">
        <v>12</v>
      </c>
      <c r="D6" s="5" t="s">
        <v>66</v>
      </c>
      <c r="E6" s="5" t="s">
        <v>67</v>
      </c>
      <c r="F6" s="5" t="s">
        <v>61</v>
      </c>
      <c r="G6" s="5" t="s">
        <v>68</v>
      </c>
      <c r="H6" s="5" t="s">
        <v>69</v>
      </c>
      <c r="I6" s="5" t="s">
        <v>70</v>
      </c>
      <c r="J6" s="5" t="s">
        <v>4</v>
      </c>
      <c r="K6" s="5" t="s">
        <v>71</v>
      </c>
      <c r="L6" s="5"/>
    </row>
    <row r="7" spans="1:12" ht="41.4">
      <c r="A7" s="5" t="s">
        <v>72</v>
      </c>
      <c r="B7" s="5" t="s">
        <v>35</v>
      </c>
      <c r="C7" s="5" t="s">
        <v>12</v>
      </c>
      <c r="D7" s="5" t="s">
        <v>73</v>
      </c>
      <c r="E7" s="5" t="s">
        <v>74</v>
      </c>
      <c r="F7" s="5" t="s">
        <v>75</v>
      </c>
      <c r="G7" s="5" t="s">
        <v>76</v>
      </c>
      <c r="H7" s="5" t="s">
        <v>77</v>
      </c>
      <c r="I7" s="5" t="s">
        <v>78</v>
      </c>
      <c r="J7" s="5" t="s">
        <v>4</v>
      </c>
      <c r="K7" s="5" t="s">
        <v>42</v>
      </c>
      <c r="L7" s="5"/>
    </row>
    <row r="8" spans="1:12" ht="41.4">
      <c r="A8" s="5" t="s">
        <v>79</v>
      </c>
      <c r="B8" s="5" t="s">
        <v>35</v>
      </c>
      <c r="C8" s="5" t="s">
        <v>12</v>
      </c>
      <c r="D8" s="5" t="s">
        <v>80</v>
      </c>
      <c r="E8" s="5" t="s">
        <v>81</v>
      </c>
      <c r="F8" s="5" t="s">
        <v>75</v>
      </c>
      <c r="G8" s="5" t="s">
        <v>82</v>
      </c>
      <c r="H8" s="5" t="s">
        <v>83</v>
      </c>
      <c r="I8" s="5" t="s">
        <v>84</v>
      </c>
      <c r="J8" s="5" t="s">
        <v>4</v>
      </c>
      <c r="K8" s="5" t="s">
        <v>42</v>
      </c>
      <c r="L8" s="5"/>
    </row>
    <row r="9" spans="1:12" ht="27.6">
      <c r="A9" s="5" t="s">
        <v>85</v>
      </c>
      <c r="B9" s="5" t="s">
        <v>35</v>
      </c>
      <c r="C9" s="5" t="s">
        <v>12</v>
      </c>
      <c r="D9" s="5" t="s">
        <v>86</v>
      </c>
      <c r="E9" s="5" t="s">
        <v>87</v>
      </c>
      <c r="F9" s="5" t="s">
        <v>88</v>
      </c>
      <c r="G9" s="5" t="s">
        <v>89</v>
      </c>
      <c r="H9" s="5" t="s">
        <v>90</v>
      </c>
      <c r="I9" s="5" t="s">
        <v>91</v>
      </c>
      <c r="J9" s="5" t="s">
        <v>4</v>
      </c>
      <c r="K9" s="5" t="s">
        <v>50</v>
      </c>
      <c r="L9" s="5"/>
    </row>
    <row r="10" spans="1:12" ht="27.6">
      <c r="A10" s="5" t="s">
        <v>92</v>
      </c>
      <c r="B10" s="5" t="s">
        <v>35</v>
      </c>
      <c r="C10" s="5" t="s">
        <v>12</v>
      </c>
      <c r="D10" s="5" t="s">
        <v>93</v>
      </c>
      <c r="E10" s="5" t="s">
        <v>94</v>
      </c>
      <c r="F10" s="5" t="s">
        <v>95</v>
      </c>
      <c r="G10" s="5" t="s">
        <v>96</v>
      </c>
      <c r="H10" s="5" t="s">
        <v>97</v>
      </c>
      <c r="I10" s="5" t="s">
        <v>98</v>
      </c>
      <c r="J10" s="5" t="s">
        <v>4</v>
      </c>
      <c r="K10" s="5" t="s">
        <v>42</v>
      </c>
      <c r="L10" s="5"/>
    </row>
    <row r="11" spans="1:12" ht="27.6">
      <c r="A11" s="5" t="s">
        <v>99</v>
      </c>
      <c r="B11" s="5" t="s">
        <v>35</v>
      </c>
      <c r="C11" s="5" t="s">
        <v>12</v>
      </c>
      <c r="D11" s="5" t="s">
        <v>100</v>
      </c>
      <c r="E11" s="5" t="s">
        <v>101</v>
      </c>
      <c r="F11" s="5" t="s">
        <v>102</v>
      </c>
      <c r="G11" s="5" t="s">
        <v>89</v>
      </c>
      <c r="H11" s="5" t="s">
        <v>103</v>
      </c>
      <c r="I11" s="5" t="s">
        <v>104</v>
      </c>
      <c r="J11" s="5" t="s">
        <v>4</v>
      </c>
      <c r="K11" s="5" t="s">
        <v>50</v>
      </c>
      <c r="L11" s="5"/>
    </row>
    <row r="12" spans="1:12" ht="27.6">
      <c r="A12" s="5" t="s">
        <v>105</v>
      </c>
      <c r="B12" s="5" t="s">
        <v>35</v>
      </c>
      <c r="C12" s="5" t="s">
        <v>12</v>
      </c>
      <c r="D12" s="5" t="s">
        <v>106</v>
      </c>
      <c r="E12" s="5" t="s">
        <v>107</v>
      </c>
      <c r="F12" s="5" t="s">
        <v>102</v>
      </c>
      <c r="G12" s="5" t="s">
        <v>108</v>
      </c>
      <c r="H12" s="5" t="s">
        <v>109</v>
      </c>
      <c r="I12" s="5" t="s">
        <v>110</v>
      </c>
      <c r="J12" s="5" t="s">
        <v>4</v>
      </c>
      <c r="K12" s="5" t="s">
        <v>50</v>
      </c>
      <c r="L12" s="5"/>
    </row>
    <row r="13" spans="1:12" ht="41.4">
      <c r="A13" s="5" t="s">
        <v>111</v>
      </c>
      <c r="B13" s="5" t="s">
        <v>35</v>
      </c>
      <c r="C13" s="5" t="s">
        <v>20</v>
      </c>
      <c r="D13" s="5" t="s">
        <v>112</v>
      </c>
      <c r="E13" s="5" t="s">
        <v>113</v>
      </c>
      <c r="F13" s="5" t="s">
        <v>102</v>
      </c>
      <c r="G13" s="5" t="s">
        <v>114</v>
      </c>
      <c r="H13" s="5" t="s">
        <v>115</v>
      </c>
      <c r="I13" s="5" t="s">
        <v>116</v>
      </c>
      <c r="J13" s="5" t="s">
        <v>4</v>
      </c>
      <c r="K13" s="5" t="s">
        <v>50</v>
      </c>
      <c r="L13" s="5"/>
    </row>
    <row r="14" spans="1:12" ht="27.6">
      <c r="A14" s="5" t="s">
        <v>117</v>
      </c>
      <c r="B14" s="5" t="s">
        <v>35</v>
      </c>
      <c r="C14" s="5" t="s">
        <v>20</v>
      </c>
      <c r="D14" s="5" t="s">
        <v>118</v>
      </c>
      <c r="E14" s="5" t="s">
        <v>119</v>
      </c>
      <c r="F14" s="5" t="s">
        <v>102</v>
      </c>
      <c r="G14" s="5" t="s">
        <v>120</v>
      </c>
      <c r="H14" s="5" t="s">
        <v>121</v>
      </c>
      <c r="I14" s="5" t="s">
        <v>122</v>
      </c>
      <c r="J14" s="5" t="s">
        <v>4</v>
      </c>
      <c r="K14" s="5" t="s">
        <v>50</v>
      </c>
      <c r="L14" s="5"/>
    </row>
    <row r="15" spans="1:12" ht="27.6">
      <c r="A15" s="5" t="s">
        <v>123</v>
      </c>
      <c r="B15" s="5" t="s">
        <v>35</v>
      </c>
      <c r="C15" s="5" t="s">
        <v>20</v>
      </c>
      <c r="D15" s="5" t="s">
        <v>124</v>
      </c>
      <c r="E15" s="5" t="s">
        <v>45</v>
      </c>
      <c r="F15" s="5" t="s">
        <v>125</v>
      </c>
      <c r="G15" s="5" t="s">
        <v>126</v>
      </c>
      <c r="H15" s="5" t="s">
        <v>127</v>
      </c>
      <c r="I15" s="5" t="s">
        <v>128</v>
      </c>
      <c r="J15" s="5" t="s">
        <v>4</v>
      </c>
      <c r="K15" s="5" t="s">
        <v>50</v>
      </c>
      <c r="L15" s="5"/>
    </row>
    <row r="16" spans="1:12" ht="41.4">
      <c r="A16" s="5" t="s">
        <v>129</v>
      </c>
      <c r="B16" s="5" t="s">
        <v>35</v>
      </c>
      <c r="C16" s="5" t="s">
        <v>20</v>
      </c>
      <c r="D16" s="5" t="s">
        <v>130</v>
      </c>
      <c r="E16" s="5" t="s">
        <v>131</v>
      </c>
      <c r="F16" s="5" t="s">
        <v>102</v>
      </c>
      <c r="G16" s="5" t="s">
        <v>132</v>
      </c>
      <c r="H16" s="5" t="s">
        <v>133</v>
      </c>
      <c r="I16" s="5" t="s">
        <v>134</v>
      </c>
      <c r="J16" s="5" t="s">
        <v>4</v>
      </c>
      <c r="K16" s="5" t="s">
        <v>42</v>
      </c>
      <c r="L16" s="5"/>
    </row>
    <row r="17" spans="1:12" ht="27.6">
      <c r="A17" s="5" t="s">
        <v>135</v>
      </c>
      <c r="B17" s="5" t="s">
        <v>35</v>
      </c>
      <c r="C17" s="5" t="s">
        <v>20</v>
      </c>
      <c r="D17" s="5" t="s">
        <v>136</v>
      </c>
      <c r="E17" s="5" t="s">
        <v>137</v>
      </c>
      <c r="F17" s="5" t="s">
        <v>102</v>
      </c>
      <c r="G17" s="5" t="s">
        <v>138</v>
      </c>
      <c r="H17" s="5" t="s">
        <v>139</v>
      </c>
      <c r="I17" s="5" t="s">
        <v>140</v>
      </c>
      <c r="J17" s="5" t="s">
        <v>4</v>
      </c>
      <c r="K17" s="5" t="s">
        <v>50</v>
      </c>
      <c r="L17" s="5"/>
    </row>
    <row r="18" spans="1:12" ht="41.4">
      <c r="A18" s="5" t="s">
        <v>141</v>
      </c>
      <c r="B18" s="5" t="s">
        <v>35</v>
      </c>
      <c r="C18" s="5" t="s">
        <v>20</v>
      </c>
      <c r="D18" s="5" t="s">
        <v>142</v>
      </c>
      <c r="E18" s="5" t="s">
        <v>143</v>
      </c>
      <c r="F18" s="5" t="s">
        <v>102</v>
      </c>
      <c r="G18" s="5" t="s">
        <v>144</v>
      </c>
      <c r="H18" s="5" t="s">
        <v>145</v>
      </c>
      <c r="I18" s="5" t="s">
        <v>146</v>
      </c>
      <c r="J18" s="5" t="s">
        <v>4</v>
      </c>
      <c r="K18" s="5" t="s">
        <v>71</v>
      </c>
      <c r="L18" s="5"/>
    </row>
    <row r="19" spans="1:12" ht="41.4">
      <c r="A19" s="5" t="s">
        <v>147</v>
      </c>
      <c r="B19" s="5" t="s">
        <v>148</v>
      </c>
      <c r="C19" s="5" t="s">
        <v>13</v>
      </c>
      <c r="D19" s="5" t="s">
        <v>149</v>
      </c>
      <c r="E19" s="5" t="s">
        <v>150</v>
      </c>
      <c r="F19" s="5" t="s">
        <v>151</v>
      </c>
      <c r="G19" s="5" t="s">
        <v>152</v>
      </c>
      <c r="H19" s="5" t="s">
        <v>153</v>
      </c>
      <c r="I19" s="5" t="s">
        <v>154</v>
      </c>
      <c r="J19" s="5" t="s">
        <v>4</v>
      </c>
      <c r="K19" s="5" t="s">
        <v>42</v>
      </c>
      <c r="L19" s="5"/>
    </row>
    <row r="20" spans="1:12" ht="27.6">
      <c r="A20" s="5" t="s">
        <v>155</v>
      </c>
      <c r="B20" s="5" t="s">
        <v>148</v>
      </c>
      <c r="C20" s="5" t="s">
        <v>13</v>
      </c>
      <c r="D20" s="5" t="s">
        <v>156</v>
      </c>
      <c r="E20" s="5" t="s">
        <v>157</v>
      </c>
      <c r="F20" s="5" t="s">
        <v>61</v>
      </c>
      <c r="G20" s="5" t="s">
        <v>158</v>
      </c>
      <c r="H20" s="5" t="s">
        <v>159</v>
      </c>
      <c r="I20" s="5" t="s">
        <v>160</v>
      </c>
      <c r="J20" s="5" t="s">
        <v>4</v>
      </c>
      <c r="K20" s="5" t="s">
        <v>42</v>
      </c>
      <c r="L20" s="5"/>
    </row>
    <row r="21" spans="1:12" ht="27.6">
      <c r="A21" s="5" t="s">
        <v>161</v>
      </c>
      <c r="B21" s="5" t="s">
        <v>148</v>
      </c>
      <c r="C21" s="5" t="s">
        <v>13</v>
      </c>
      <c r="D21" s="5" t="s">
        <v>162</v>
      </c>
      <c r="E21" s="5" t="s">
        <v>163</v>
      </c>
      <c r="F21" s="5" t="s">
        <v>61</v>
      </c>
      <c r="G21" s="5" t="s">
        <v>164</v>
      </c>
      <c r="H21" s="5" t="s">
        <v>165</v>
      </c>
      <c r="I21" s="5" t="s">
        <v>166</v>
      </c>
      <c r="J21" s="5" t="s">
        <v>4</v>
      </c>
      <c r="K21" s="5" t="s">
        <v>50</v>
      </c>
      <c r="L21" s="5"/>
    </row>
    <row r="22" spans="1:12" ht="41.4">
      <c r="A22" s="5" t="s">
        <v>167</v>
      </c>
      <c r="B22" s="5" t="s">
        <v>148</v>
      </c>
      <c r="C22" s="5" t="s">
        <v>13</v>
      </c>
      <c r="D22" s="5" t="s">
        <v>168</v>
      </c>
      <c r="E22" s="5" t="s">
        <v>169</v>
      </c>
      <c r="F22" s="5" t="s">
        <v>61</v>
      </c>
      <c r="G22" s="5" t="s">
        <v>170</v>
      </c>
      <c r="H22" s="5" t="s">
        <v>171</v>
      </c>
      <c r="I22" s="5" t="s">
        <v>172</v>
      </c>
      <c r="J22" s="5" t="s">
        <v>4</v>
      </c>
      <c r="K22" s="5" t="s">
        <v>50</v>
      </c>
      <c r="L22" s="5"/>
    </row>
    <row r="23" spans="1:12" ht="41.4">
      <c r="A23" s="5" t="s">
        <v>173</v>
      </c>
      <c r="B23" s="5" t="s">
        <v>148</v>
      </c>
      <c r="C23" s="5" t="s">
        <v>13</v>
      </c>
      <c r="D23" s="5" t="s">
        <v>174</v>
      </c>
      <c r="E23" s="5" t="s">
        <v>175</v>
      </c>
      <c r="F23" s="5" t="s">
        <v>176</v>
      </c>
      <c r="G23" s="5" t="s">
        <v>177</v>
      </c>
      <c r="H23" s="5" t="s">
        <v>178</v>
      </c>
      <c r="I23" s="5" t="s">
        <v>179</v>
      </c>
      <c r="J23" s="5" t="s">
        <v>4</v>
      </c>
      <c r="K23" s="5" t="s">
        <v>50</v>
      </c>
      <c r="L23" s="5"/>
    </row>
    <row r="24" spans="1:12" ht="27.6">
      <c r="A24" s="5" t="s">
        <v>180</v>
      </c>
      <c r="B24" s="5" t="s">
        <v>148</v>
      </c>
      <c r="C24" s="5" t="s">
        <v>13</v>
      </c>
      <c r="D24" s="5" t="s">
        <v>181</v>
      </c>
      <c r="E24" s="5" t="s">
        <v>182</v>
      </c>
      <c r="F24" s="5" t="s">
        <v>183</v>
      </c>
      <c r="G24" s="5" t="s">
        <v>184</v>
      </c>
      <c r="H24" s="5" t="s">
        <v>185</v>
      </c>
      <c r="I24" s="5" t="s">
        <v>747</v>
      </c>
      <c r="J24" s="5" t="s">
        <v>4</v>
      </c>
      <c r="K24" s="5" t="s">
        <v>50</v>
      </c>
      <c r="L24" s="5"/>
    </row>
    <row r="25" spans="1:12" ht="41.4">
      <c r="A25" s="5" t="s">
        <v>186</v>
      </c>
      <c r="B25" s="5" t="s">
        <v>148</v>
      </c>
      <c r="C25" s="5" t="s">
        <v>13</v>
      </c>
      <c r="D25" s="5" t="s">
        <v>187</v>
      </c>
      <c r="E25" s="5" t="s">
        <v>188</v>
      </c>
      <c r="F25" s="5" t="s">
        <v>102</v>
      </c>
      <c r="G25" s="5" t="s">
        <v>184</v>
      </c>
      <c r="H25" s="5" t="s">
        <v>189</v>
      </c>
      <c r="I25" s="5" t="s">
        <v>190</v>
      </c>
      <c r="J25" s="5" t="s">
        <v>4</v>
      </c>
      <c r="K25" s="5" t="s">
        <v>42</v>
      </c>
      <c r="L25" s="5"/>
    </row>
    <row r="26" spans="1:12" ht="27.6">
      <c r="A26" s="5" t="s">
        <v>191</v>
      </c>
      <c r="B26" s="5" t="s">
        <v>148</v>
      </c>
      <c r="C26" s="5" t="s">
        <v>13</v>
      </c>
      <c r="D26" s="5" t="s">
        <v>192</v>
      </c>
      <c r="E26" s="5" t="s">
        <v>193</v>
      </c>
      <c r="F26" s="5" t="s">
        <v>194</v>
      </c>
      <c r="G26" s="5" t="s">
        <v>195</v>
      </c>
      <c r="H26" s="5" t="s">
        <v>196</v>
      </c>
      <c r="I26" s="5" t="s">
        <v>197</v>
      </c>
      <c r="J26" s="5" t="s">
        <v>4</v>
      </c>
      <c r="K26" s="5" t="s">
        <v>71</v>
      </c>
      <c r="L26" s="5"/>
    </row>
    <row r="27" spans="1:12" ht="27.6">
      <c r="A27" s="5" t="s">
        <v>198</v>
      </c>
      <c r="B27" s="5" t="s">
        <v>148</v>
      </c>
      <c r="C27" s="5" t="s">
        <v>13</v>
      </c>
      <c r="D27" s="5" t="s">
        <v>199</v>
      </c>
      <c r="E27" s="5" t="s">
        <v>200</v>
      </c>
      <c r="F27" s="5" t="s">
        <v>183</v>
      </c>
      <c r="G27" s="5" t="s">
        <v>201</v>
      </c>
      <c r="H27" s="5" t="s">
        <v>202</v>
      </c>
      <c r="I27" s="5" t="s">
        <v>203</v>
      </c>
      <c r="J27" s="5" t="s">
        <v>4</v>
      </c>
      <c r="K27" s="5" t="s">
        <v>50</v>
      </c>
      <c r="L27" s="5"/>
    </row>
    <row r="28" spans="1:12" ht="27.6">
      <c r="A28" s="5" t="s">
        <v>204</v>
      </c>
      <c r="B28" s="5" t="s">
        <v>148</v>
      </c>
      <c r="C28" s="5" t="s">
        <v>13</v>
      </c>
      <c r="D28" s="5" t="s">
        <v>205</v>
      </c>
      <c r="E28" s="5" t="s">
        <v>206</v>
      </c>
      <c r="F28" s="5" t="s">
        <v>61</v>
      </c>
      <c r="G28" s="5" t="s">
        <v>207</v>
      </c>
      <c r="H28" s="5" t="s">
        <v>208</v>
      </c>
      <c r="I28" s="5" t="s">
        <v>209</v>
      </c>
      <c r="J28" s="5" t="s">
        <v>4</v>
      </c>
      <c r="K28" s="5" t="s">
        <v>71</v>
      </c>
      <c r="L28" s="5"/>
    </row>
    <row r="29" spans="1:12" ht="27.6">
      <c r="A29" s="5" t="s">
        <v>210</v>
      </c>
      <c r="B29" s="5" t="s">
        <v>211</v>
      </c>
      <c r="C29" s="5" t="s">
        <v>18</v>
      </c>
      <c r="D29" s="5" t="s">
        <v>212</v>
      </c>
      <c r="E29" s="5" t="s">
        <v>213</v>
      </c>
      <c r="F29" s="5" t="s">
        <v>214</v>
      </c>
      <c r="G29" s="5" t="s">
        <v>215</v>
      </c>
      <c r="H29" s="5" t="s">
        <v>216</v>
      </c>
      <c r="I29" s="5" t="s">
        <v>217</v>
      </c>
      <c r="J29" s="5" t="s">
        <v>4</v>
      </c>
      <c r="K29" s="5" t="s">
        <v>42</v>
      </c>
      <c r="L29" s="5"/>
    </row>
    <row r="30" spans="1:12" ht="27.6">
      <c r="A30" s="5" t="s">
        <v>218</v>
      </c>
      <c r="B30" s="5" t="s">
        <v>211</v>
      </c>
      <c r="C30" s="5" t="s">
        <v>18</v>
      </c>
      <c r="D30" s="5" t="s">
        <v>219</v>
      </c>
      <c r="E30" s="5" t="s">
        <v>220</v>
      </c>
      <c r="F30" s="5" t="s">
        <v>221</v>
      </c>
      <c r="G30" s="5" t="s">
        <v>222</v>
      </c>
      <c r="H30" s="5" t="s">
        <v>223</v>
      </c>
      <c r="I30" s="5" t="s">
        <v>224</v>
      </c>
      <c r="J30" s="5" t="s">
        <v>4</v>
      </c>
      <c r="K30" s="5" t="s">
        <v>42</v>
      </c>
      <c r="L30" s="5"/>
    </row>
    <row r="31" spans="1:12" ht="27.6">
      <c r="A31" s="5" t="s">
        <v>225</v>
      </c>
      <c r="B31" s="5" t="s">
        <v>211</v>
      </c>
      <c r="C31" s="5" t="s">
        <v>18</v>
      </c>
      <c r="D31" s="5" t="s">
        <v>226</v>
      </c>
      <c r="E31" s="5" t="s">
        <v>227</v>
      </c>
      <c r="F31" s="5" t="s">
        <v>221</v>
      </c>
      <c r="G31" s="5" t="s">
        <v>228</v>
      </c>
      <c r="H31" s="5" t="s">
        <v>229</v>
      </c>
      <c r="I31" s="5" t="s">
        <v>230</v>
      </c>
      <c r="J31" s="5" t="s">
        <v>4</v>
      </c>
      <c r="K31" s="5" t="s">
        <v>50</v>
      </c>
      <c r="L31" s="5"/>
    </row>
    <row r="32" spans="1:12" ht="27.6">
      <c r="A32" s="5" t="s">
        <v>231</v>
      </c>
      <c r="B32" s="5" t="s">
        <v>211</v>
      </c>
      <c r="C32" s="5" t="s">
        <v>18</v>
      </c>
      <c r="D32" s="5" t="s">
        <v>232</v>
      </c>
      <c r="E32" s="5" t="s">
        <v>233</v>
      </c>
      <c r="F32" s="5" t="s">
        <v>221</v>
      </c>
      <c r="G32" s="5" t="s">
        <v>234</v>
      </c>
      <c r="H32" s="5" t="s">
        <v>235</v>
      </c>
      <c r="I32" s="5" t="s">
        <v>236</v>
      </c>
      <c r="J32" s="5" t="s">
        <v>5</v>
      </c>
      <c r="K32" s="5" t="s">
        <v>50</v>
      </c>
      <c r="L32" s="5" t="s">
        <v>748</v>
      </c>
    </row>
    <row r="33" spans="1:12" ht="41.4">
      <c r="A33" s="5" t="s">
        <v>237</v>
      </c>
      <c r="B33" s="5" t="s">
        <v>211</v>
      </c>
      <c r="C33" s="5" t="s">
        <v>18</v>
      </c>
      <c r="D33" s="5" t="s">
        <v>238</v>
      </c>
      <c r="E33" s="5" t="s">
        <v>239</v>
      </c>
      <c r="F33" s="5" t="s">
        <v>240</v>
      </c>
      <c r="G33" s="5" t="s">
        <v>184</v>
      </c>
      <c r="H33" s="5" t="s">
        <v>241</v>
      </c>
      <c r="I33" s="5" t="s">
        <v>242</v>
      </c>
      <c r="J33" s="5" t="s">
        <v>4</v>
      </c>
      <c r="K33" s="5" t="s">
        <v>42</v>
      </c>
      <c r="L33" s="5"/>
    </row>
    <row r="34" spans="1:12" ht="27.6">
      <c r="A34" s="5" t="s">
        <v>243</v>
      </c>
      <c r="B34" s="5" t="s">
        <v>211</v>
      </c>
      <c r="C34" s="5" t="s">
        <v>18</v>
      </c>
      <c r="D34" s="5" t="s">
        <v>244</v>
      </c>
      <c r="E34" s="5" t="s">
        <v>245</v>
      </c>
      <c r="F34" s="5" t="s">
        <v>240</v>
      </c>
      <c r="G34" s="5" t="s">
        <v>246</v>
      </c>
      <c r="H34" s="5" t="s">
        <v>247</v>
      </c>
      <c r="I34" s="5" t="s">
        <v>248</v>
      </c>
      <c r="J34" s="5" t="s">
        <v>4</v>
      </c>
      <c r="K34" s="5" t="s">
        <v>50</v>
      </c>
      <c r="L34" s="5"/>
    </row>
    <row r="35" spans="1:12" ht="27.6">
      <c r="A35" s="5" t="s">
        <v>249</v>
      </c>
      <c r="B35" s="5" t="s">
        <v>211</v>
      </c>
      <c r="C35" s="5" t="s">
        <v>18</v>
      </c>
      <c r="D35" s="5" t="s">
        <v>250</v>
      </c>
      <c r="E35" s="5" t="s">
        <v>251</v>
      </c>
      <c r="F35" s="5" t="s">
        <v>252</v>
      </c>
      <c r="G35" s="5" t="s">
        <v>184</v>
      </c>
      <c r="H35" s="5" t="s">
        <v>253</v>
      </c>
      <c r="I35" s="5" t="s">
        <v>254</v>
      </c>
      <c r="J35" s="5" t="s">
        <v>4</v>
      </c>
      <c r="K35" s="5" t="s">
        <v>71</v>
      </c>
      <c r="L35" s="5"/>
    </row>
    <row r="36" spans="1:12" ht="27.6">
      <c r="A36" s="5" t="s">
        <v>255</v>
      </c>
      <c r="B36" s="5" t="s">
        <v>211</v>
      </c>
      <c r="C36" s="5" t="s">
        <v>18</v>
      </c>
      <c r="D36" s="5" t="s">
        <v>256</v>
      </c>
      <c r="E36" s="5" t="s">
        <v>257</v>
      </c>
      <c r="F36" s="5" t="s">
        <v>61</v>
      </c>
      <c r="G36" s="5" t="s">
        <v>258</v>
      </c>
      <c r="H36" s="5" t="s">
        <v>259</v>
      </c>
      <c r="I36" s="5" t="s">
        <v>260</v>
      </c>
      <c r="J36" s="5" t="s">
        <v>4</v>
      </c>
      <c r="K36" s="5" t="s">
        <v>71</v>
      </c>
      <c r="L36" s="5"/>
    </row>
    <row r="37" spans="1:12" ht="27.6">
      <c r="A37" s="5" t="s">
        <v>261</v>
      </c>
      <c r="B37" s="5" t="s">
        <v>262</v>
      </c>
      <c r="C37" s="5" t="s">
        <v>14</v>
      </c>
      <c r="D37" s="5" t="s">
        <v>263</v>
      </c>
      <c r="E37" s="5" t="s">
        <v>264</v>
      </c>
      <c r="F37" s="5" t="s">
        <v>265</v>
      </c>
      <c r="G37" s="5" t="s">
        <v>266</v>
      </c>
      <c r="H37" s="5" t="s">
        <v>267</v>
      </c>
      <c r="I37" s="5" t="s">
        <v>268</v>
      </c>
      <c r="J37" s="5" t="s">
        <v>4</v>
      </c>
      <c r="K37" s="5" t="s">
        <v>42</v>
      </c>
      <c r="L37" s="5"/>
    </row>
    <row r="38" spans="1:12" ht="27.6">
      <c r="A38" s="5" t="s">
        <v>269</v>
      </c>
      <c r="B38" s="5" t="s">
        <v>262</v>
      </c>
      <c r="C38" s="5" t="s">
        <v>14</v>
      </c>
      <c r="D38" s="5" t="s">
        <v>270</v>
      </c>
      <c r="E38" s="5" t="s">
        <v>271</v>
      </c>
      <c r="F38" s="5" t="s">
        <v>272</v>
      </c>
      <c r="G38" s="5" t="s">
        <v>61</v>
      </c>
      <c r="H38" s="5" t="s">
        <v>273</v>
      </c>
      <c r="I38" s="5" t="s">
        <v>274</v>
      </c>
      <c r="J38" s="5" t="s">
        <v>4</v>
      </c>
      <c r="K38" s="5" t="s">
        <v>71</v>
      </c>
      <c r="L38" s="5"/>
    </row>
    <row r="39" spans="1:12" ht="27.6">
      <c r="A39" s="5" t="s">
        <v>275</v>
      </c>
      <c r="B39" s="5" t="s">
        <v>262</v>
      </c>
      <c r="C39" s="5" t="s">
        <v>14</v>
      </c>
      <c r="D39" s="5" t="s">
        <v>276</v>
      </c>
      <c r="E39" s="5" t="s">
        <v>277</v>
      </c>
      <c r="F39" s="5" t="s">
        <v>278</v>
      </c>
      <c r="G39" s="5" t="s">
        <v>279</v>
      </c>
      <c r="H39" s="5" t="s">
        <v>280</v>
      </c>
      <c r="I39" s="5" t="s">
        <v>281</v>
      </c>
      <c r="J39" s="5" t="s">
        <v>4</v>
      </c>
      <c r="K39" s="5" t="s">
        <v>71</v>
      </c>
      <c r="L39" s="5"/>
    </row>
    <row r="40" spans="1:12" ht="27.6">
      <c r="A40" s="5" t="s">
        <v>282</v>
      </c>
      <c r="B40" s="5" t="s">
        <v>262</v>
      </c>
      <c r="C40" s="5" t="s">
        <v>14</v>
      </c>
      <c r="D40" s="5" t="s">
        <v>283</v>
      </c>
      <c r="E40" s="5" t="s">
        <v>284</v>
      </c>
      <c r="F40" s="5" t="s">
        <v>61</v>
      </c>
      <c r="G40" s="5" t="s">
        <v>285</v>
      </c>
      <c r="H40" s="5" t="s">
        <v>286</v>
      </c>
      <c r="I40" s="5" t="s">
        <v>287</v>
      </c>
      <c r="J40" s="5" t="s">
        <v>4</v>
      </c>
      <c r="K40" s="5" t="s">
        <v>50</v>
      </c>
      <c r="L40" s="5"/>
    </row>
    <row r="41" spans="1:12" ht="27.6">
      <c r="A41" s="5" t="s">
        <v>288</v>
      </c>
      <c r="B41" s="5" t="s">
        <v>262</v>
      </c>
      <c r="C41" s="5" t="s">
        <v>14</v>
      </c>
      <c r="D41" s="5" t="s">
        <v>289</v>
      </c>
      <c r="E41" s="5" t="s">
        <v>290</v>
      </c>
      <c r="F41" s="5" t="s">
        <v>291</v>
      </c>
      <c r="G41" s="5" t="s">
        <v>201</v>
      </c>
      <c r="H41" s="5" t="s">
        <v>292</v>
      </c>
      <c r="I41" s="5" t="s">
        <v>293</v>
      </c>
      <c r="J41" s="5" t="s">
        <v>4</v>
      </c>
      <c r="K41" s="5" t="s">
        <v>50</v>
      </c>
      <c r="L41" s="5"/>
    </row>
    <row r="42" spans="1:12" ht="41.4">
      <c r="A42" s="5" t="s">
        <v>294</v>
      </c>
      <c r="B42" s="5" t="s">
        <v>262</v>
      </c>
      <c r="C42" s="5" t="s">
        <v>14</v>
      </c>
      <c r="D42" s="5" t="s">
        <v>295</v>
      </c>
      <c r="E42" s="5" t="s">
        <v>296</v>
      </c>
      <c r="F42" s="5" t="s">
        <v>297</v>
      </c>
      <c r="G42" s="5" t="s">
        <v>61</v>
      </c>
      <c r="H42" s="5" t="s">
        <v>298</v>
      </c>
      <c r="I42" s="5" t="s">
        <v>299</v>
      </c>
      <c r="J42" s="5" t="s">
        <v>4</v>
      </c>
      <c r="K42" s="5" t="s">
        <v>50</v>
      </c>
      <c r="L42" s="5"/>
    </row>
    <row r="43" spans="1:12" ht="27.6">
      <c r="A43" s="5" t="s">
        <v>300</v>
      </c>
      <c r="B43" s="5" t="s">
        <v>301</v>
      </c>
      <c r="C43" s="5" t="s">
        <v>17</v>
      </c>
      <c r="D43" s="5" t="s">
        <v>302</v>
      </c>
      <c r="E43" s="5" t="s">
        <v>303</v>
      </c>
      <c r="F43" s="5" t="s">
        <v>102</v>
      </c>
      <c r="G43" s="5" t="s">
        <v>304</v>
      </c>
      <c r="H43" s="5" t="s">
        <v>305</v>
      </c>
      <c r="I43" s="5" t="s">
        <v>306</v>
      </c>
      <c r="J43" s="5" t="s">
        <v>4</v>
      </c>
      <c r="K43" s="5" t="s">
        <v>42</v>
      </c>
      <c r="L43" s="5"/>
    </row>
    <row r="44" spans="1:12" ht="27.6">
      <c r="A44" s="5" t="s">
        <v>307</v>
      </c>
      <c r="B44" s="5" t="s">
        <v>301</v>
      </c>
      <c r="C44" s="5" t="s">
        <v>17</v>
      </c>
      <c r="D44" s="5" t="s">
        <v>308</v>
      </c>
      <c r="E44" s="5" t="s">
        <v>309</v>
      </c>
      <c r="F44" s="5" t="s">
        <v>310</v>
      </c>
      <c r="G44" s="5" t="s">
        <v>311</v>
      </c>
      <c r="H44" s="5" t="s">
        <v>312</v>
      </c>
      <c r="I44" s="5" t="s">
        <v>313</v>
      </c>
      <c r="J44" s="5" t="s">
        <v>4</v>
      </c>
      <c r="K44" s="5" t="s">
        <v>50</v>
      </c>
      <c r="L44" s="5"/>
    </row>
    <row r="45" spans="1:12" ht="27.6">
      <c r="A45" s="5" t="s">
        <v>314</v>
      </c>
      <c r="B45" s="5" t="s">
        <v>301</v>
      </c>
      <c r="C45" s="5" t="s">
        <v>17</v>
      </c>
      <c r="D45" s="5" t="s">
        <v>315</v>
      </c>
      <c r="E45" s="5" t="s">
        <v>316</v>
      </c>
      <c r="F45" s="5" t="s">
        <v>317</v>
      </c>
      <c r="G45" s="5" t="s">
        <v>318</v>
      </c>
      <c r="H45" s="5" t="s">
        <v>319</v>
      </c>
      <c r="I45" s="5" t="s">
        <v>320</v>
      </c>
      <c r="J45" s="5" t="s">
        <v>4</v>
      </c>
      <c r="K45" s="5" t="s">
        <v>50</v>
      </c>
      <c r="L45" s="5"/>
    </row>
    <row r="46" spans="1:12" ht="27.6">
      <c r="A46" s="5" t="s">
        <v>321</v>
      </c>
      <c r="B46" s="5" t="s">
        <v>301</v>
      </c>
      <c r="C46" s="5" t="s">
        <v>17</v>
      </c>
      <c r="D46" s="5" t="s">
        <v>322</v>
      </c>
      <c r="E46" s="5" t="s">
        <v>323</v>
      </c>
      <c r="F46" s="5" t="s">
        <v>324</v>
      </c>
      <c r="G46" s="5" t="s">
        <v>325</v>
      </c>
      <c r="H46" s="5" t="s">
        <v>326</v>
      </c>
      <c r="I46" s="5" t="s">
        <v>327</v>
      </c>
      <c r="J46" s="5" t="s">
        <v>4</v>
      </c>
      <c r="K46" s="5" t="s">
        <v>42</v>
      </c>
      <c r="L46" s="5"/>
    </row>
    <row r="47" spans="1:12">
      <c r="A47" s="5" t="s">
        <v>328</v>
      </c>
      <c r="B47" s="5" t="s">
        <v>301</v>
      </c>
      <c r="C47" s="5" t="s">
        <v>17</v>
      </c>
      <c r="D47" s="5" t="s">
        <v>329</v>
      </c>
      <c r="E47" s="5" t="s">
        <v>330</v>
      </c>
      <c r="F47" s="5" t="s">
        <v>331</v>
      </c>
      <c r="G47" s="5" t="s">
        <v>332</v>
      </c>
      <c r="H47" s="5" t="s">
        <v>333</v>
      </c>
      <c r="I47" s="5" t="s">
        <v>334</v>
      </c>
      <c r="J47" s="5" t="s">
        <v>4</v>
      </c>
      <c r="K47" s="5" t="s">
        <v>50</v>
      </c>
      <c r="L47" s="5"/>
    </row>
    <row r="48" spans="1:12" ht="27.6">
      <c r="A48" s="5" t="s">
        <v>335</v>
      </c>
      <c r="B48" s="5" t="s">
        <v>301</v>
      </c>
      <c r="C48" s="5" t="s">
        <v>17</v>
      </c>
      <c r="D48" s="5" t="s">
        <v>336</v>
      </c>
      <c r="E48" s="5" t="s">
        <v>337</v>
      </c>
      <c r="F48" s="5" t="s">
        <v>331</v>
      </c>
      <c r="G48" s="5" t="s">
        <v>332</v>
      </c>
      <c r="H48" s="5" t="s">
        <v>338</v>
      </c>
      <c r="I48" s="5" t="s">
        <v>339</v>
      </c>
      <c r="J48" s="5" t="s">
        <v>4</v>
      </c>
      <c r="K48" s="5" t="s">
        <v>50</v>
      </c>
      <c r="L48" s="5"/>
    </row>
    <row r="49" spans="1:12" ht="41.4">
      <c r="A49" s="5" t="s">
        <v>340</v>
      </c>
      <c r="B49" s="5" t="s">
        <v>301</v>
      </c>
      <c r="C49" s="5" t="s">
        <v>17</v>
      </c>
      <c r="D49" s="5" t="s">
        <v>341</v>
      </c>
      <c r="E49" s="5" t="s">
        <v>342</v>
      </c>
      <c r="F49" s="5" t="s">
        <v>343</v>
      </c>
      <c r="G49" s="5" t="s">
        <v>344</v>
      </c>
      <c r="H49" s="5" t="s">
        <v>345</v>
      </c>
      <c r="I49" s="5" t="s">
        <v>346</v>
      </c>
      <c r="J49" s="5" t="s">
        <v>4</v>
      </c>
      <c r="K49" s="5" t="s">
        <v>50</v>
      </c>
      <c r="L49" s="5"/>
    </row>
    <row r="50" spans="1:12" ht="27.6">
      <c r="A50" s="5" t="s">
        <v>347</v>
      </c>
      <c r="B50" s="5" t="s">
        <v>301</v>
      </c>
      <c r="C50" s="5" t="s">
        <v>17</v>
      </c>
      <c r="D50" s="5" t="s">
        <v>348</v>
      </c>
      <c r="E50" s="5" t="s">
        <v>349</v>
      </c>
      <c r="F50" s="5" t="s">
        <v>350</v>
      </c>
      <c r="G50" s="5" t="s">
        <v>351</v>
      </c>
      <c r="H50" s="5" t="s">
        <v>352</v>
      </c>
      <c r="I50" s="5" t="s">
        <v>353</v>
      </c>
      <c r="J50" s="5" t="s">
        <v>4</v>
      </c>
      <c r="K50" s="5" t="s">
        <v>42</v>
      </c>
      <c r="L50" s="5"/>
    </row>
    <row r="51" spans="1:12" ht="41.4">
      <c r="A51" s="5" t="s">
        <v>354</v>
      </c>
      <c r="B51" s="5" t="s">
        <v>355</v>
      </c>
      <c r="C51" s="5" t="s">
        <v>15</v>
      </c>
      <c r="D51" s="5" t="s">
        <v>356</v>
      </c>
      <c r="E51" s="5" t="s">
        <v>357</v>
      </c>
      <c r="F51" s="5" t="s">
        <v>358</v>
      </c>
      <c r="G51" s="5" t="s">
        <v>359</v>
      </c>
      <c r="H51" s="5" t="s">
        <v>360</v>
      </c>
      <c r="I51" s="5" t="s">
        <v>361</v>
      </c>
      <c r="J51" s="5" t="s">
        <v>4</v>
      </c>
      <c r="K51" s="5" t="s">
        <v>42</v>
      </c>
      <c r="L51" s="5"/>
    </row>
    <row r="52" spans="1:12" ht="27.6">
      <c r="A52" s="5" t="s">
        <v>362</v>
      </c>
      <c r="B52" s="5" t="s">
        <v>355</v>
      </c>
      <c r="C52" s="5" t="s">
        <v>15</v>
      </c>
      <c r="D52" s="5" t="s">
        <v>363</v>
      </c>
      <c r="E52" s="5" t="s">
        <v>364</v>
      </c>
      <c r="F52" s="5" t="s">
        <v>365</v>
      </c>
      <c r="G52" s="5" t="s">
        <v>366</v>
      </c>
      <c r="H52" s="5" t="s">
        <v>367</v>
      </c>
      <c r="I52" s="5" t="s">
        <v>368</v>
      </c>
      <c r="J52" s="5" t="s">
        <v>4</v>
      </c>
      <c r="K52" s="5" t="s">
        <v>42</v>
      </c>
      <c r="L52" s="5"/>
    </row>
    <row r="53" spans="1:12" ht="27.6">
      <c r="A53" s="5" t="s">
        <v>369</v>
      </c>
      <c r="B53" s="5" t="s">
        <v>355</v>
      </c>
      <c r="C53" s="5" t="s">
        <v>15</v>
      </c>
      <c r="D53" s="5" t="s">
        <v>370</v>
      </c>
      <c r="E53" s="5" t="s">
        <v>371</v>
      </c>
      <c r="F53" s="5" t="s">
        <v>372</v>
      </c>
      <c r="G53" s="5" t="s">
        <v>373</v>
      </c>
      <c r="H53" s="5" t="s">
        <v>374</v>
      </c>
      <c r="I53" s="5" t="s">
        <v>375</v>
      </c>
      <c r="J53" s="5" t="s">
        <v>4</v>
      </c>
      <c r="K53" s="5" t="s">
        <v>71</v>
      </c>
      <c r="L53" s="5"/>
    </row>
    <row r="54" spans="1:12" ht="27.6">
      <c r="A54" s="5" t="s">
        <v>376</v>
      </c>
      <c r="B54" s="5" t="s">
        <v>355</v>
      </c>
      <c r="C54" s="5" t="s">
        <v>15</v>
      </c>
      <c r="D54" s="5" t="s">
        <v>377</v>
      </c>
      <c r="E54" s="5" t="s">
        <v>378</v>
      </c>
      <c r="F54" s="5" t="s">
        <v>102</v>
      </c>
      <c r="G54" s="5" t="s">
        <v>379</v>
      </c>
      <c r="H54" s="5" t="s">
        <v>380</v>
      </c>
      <c r="I54" s="5" t="s">
        <v>381</v>
      </c>
      <c r="J54" s="5" t="s">
        <v>4</v>
      </c>
      <c r="K54" s="5" t="s">
        <v>50</v>
      </c>
      <c r="L54" s="5"/>
    </row>
    <row r="55" spans="1:12" ht="27.6">
      <c r="A55" s="5" t="s">
        <v>382</v>
      </c>
      <c r="B55" s="5" t="s">
        <v>355</v>
      </c>
      <c r="C55" s="5" t="s">
        <v>15</v>
      </c>
      <c r="D55" s="5" t="s">
        <v>383</v>
      </c>
      <c r="E55" s="5" t="s">
        <v>384</v>
      </c>
      <c r="F55" s="5" t="s">
        <v>102</v>
      </c>
      <c r="G55" s="5" t="s">
        <v>385</v>
      </c>
      <c r="H55" s="5" t="s">
        <v>386</v>
      </c>
      <c r="I55" s="5" t="s">
        <v>387</v>
      </c>
      <c r="J55" s="5" t="s">
        <v>4</v>
      </c>
      <c r="K55" s="5" t="s">
        <v>50</v>
      </c>
      <c r="L55" s="5"/>
    </row>
    <row r="56" spans="1:12" ht="27.6">
      <c r="A56" s="5" t="s">
        <v>388</v>
      </c>
      <c r="B56" s="5" t="s">
        <v>355</v>
      </c>
      <c r="C56" s="5" t="s">
        <v>15</v>
      </c>
      <c r="D56" s="5" t="s">
        <v>389</v>
      </c>
      <c r="E56" s="5" t="s">
        <v>390</v>
      </c>
      <c r="F56" s="5" t="s">
        <v>391</v>
      </c>
      <c r="G56" s="5" t="s">
        <v>392</v>
      </c>
      <c r="H56" s="5" t="s">
        <v>393</v>
      </c>
      <c r="I56" s="5" t="s">
        <v>394</v>
      </c>
      <c r="J56" s="5" t="s">
        <v>4</v>
      </c>
      <c r="K56" s="5" t="s">
        <v>42</v>
      </c>
      <c r="L56" s="5"/>
    </row>
    <row r="57" spans="1:12" ht="27.6">
      <c r="A57" s="5" t="s">
        <v>395</v>
      </c>
      <c r="B57" s="5" t="s">
        <v>355</v>
      </c>
      <c r="C57" s="5" t="s">
        <v>15</v>
      </c>
      <c r="D57" s="5" t="s">
        <v>396</v>
      </c>
      <c r="E57" s="5" t="s">
        <v>397</v>
      </c>
      <c r="F57" s="5" t="s">
        <v>398</v>
      </c>
      <c r="G57" s="5" t="s">
        <v>399</v>
      </c>
      <c r="H57" s="5" t="s">
        <v>400</v>
      </c>
      <c r="I57" s="5" t="s">
        <v>401</v>
      </c>
      <c r="J57" s="5" t="s">
        <v>4</v>
      </c>
      <c r="K57" s="5" t="s">
        <v>50</v>
      </c>
      <c r="L57" s="5"/>
    </row>
    <row r="58" spans="1:12" ht="27.6">
      <c r="A58" s="5" t="s">
        <v>402</v>
      </c>
      <c r="B58" s="5" t="s">
        <v>355</v>
      </c>
      <c r="C58" s="5" t="s">
        <v>15</v>
      </c>
      <c r="D58" s="5" t="s">
        <v>403</v>
      </c>
      <c r="E58" s="5" t="s">
        <v>404</v>
      </c>
      <c r="F58" s="5" t="s">
        <v>405</v>
      </c>
      <c r="G58" s="5" t="s">
        <v>406</v>
      </c>
      <c r="H58" s="5" t="s">
        <v>407</v>
      </c>
      <c r="I58" s="5" t="s">
        <v>408</v>
      </c>
      <c r="J58" s="5" t="s">
        <v>4</v>
      </c>
      <c r="K58" s="5" t="s">
        <v>42</v>
      </c>
      <c r="L58" s="5"/>
    </row>
    <row r="59" spans="1:12" ht="27.6">
      <c r="A59" s="5" t="s">
        <v>409</v>
      </c>
      <c r="B59" s="5" t="s">
        <v>355</v>
      </c>
      <c r="C59" s="5" t="s">
        <v>15</v>
      </c>
      <c r="D59" s="5" t="s">
        <v>410</v>
      </c>
      <c r="E59" s="5" t="s">
        <v>411</v>
      </c>
      <c r="F59" s="5" t="s">
        <v>412</v>
      </c>
      <c r="G59" s="5" t="s">
        <v>413</v>
      </c>
      <c r="H59" s="5" t="s">
        <v>414</v>
      </c>
      <c r="I59" s="5" t="s">
        <v>415</v>
      </c>
      <c r="J59" s="5" t="s">
        <v>4</v>
      </c>
      <c r="K59" s="5" t="s">
        <v>42</v>
      </c>
      <c r="L59" s="5"/>
    </row>
    <row r="60" spans="1:12" ht="27.6">
      <c r="A60" s="5" t="s">
        <v>416</v>
      </c>
      <c r="B60" s="5" t="s">
        <v>355</v>
      </c>
      <c r="C60" s="5" t="s">
        <v>15</v>
      </c>
      <c r="D60" s="5" t="s">
        <v>417</v>
      </c>
      <c r="E60" s="5" t="s">
        <v>418</v>
      </c>
      <c r="F60" s="5" t="s">
        <v>412</v>
      </c>
      <c r="G60" s="5" t="s">
        <v>419</v>
      </c>
      <c r="H60" s="5" t="s">
        <v>420</v>
      </c>
      <c r="I60" s="5" t="s">
        <v>421</v>
      </c>
      <c r="J60" s="5" t="s">
        <v>4</v>
      </c>
      <c r="K60" s="5" t="s">
        <v>50</v>
      </c>
      <c r="L60" s="5"/>
    </row>
    <row r="61" spans="1:12" ht="27.6">
      <c r="A61" s="5" t="s">
        <v>422</v>
      </c>
      <c r="B61" s="5" t="s">
        <v>355</v>
      </c>
      <c r="C61" s="5" t="s">
        <v>15</v>
      </c>
      <c r="D61" s="5" t="s">
        <v>423</v>
      </c>
      <c r="E61" s="5" t="s">
        <v>424</v>
      </c>
      <c r="F61" s="5" t="s">
        <v>412</v>
      </c>
      <c r="G61" s="5" t="s">
        <v>425</v>
      </c>
      <c r="H61" s="5" t="s">
        <v>426</v>
      </c>
      <c r="I61" s="5" t="s">
        <v>427</v>
      </c>
      <c r="J61" s="5" t="s">
        <v>4</v>
      </c>
      <c r="K61" s="5" t="s">
        <v>50</v>
      </c>
      <c r="L61" s="5"/>
    </row>
    <row r="62" spans="1:12" ht="27.6">
      <c r="A62" s="5" t="s">
        <v>428</v>
      </c>
      <c r="B62" s="5" t="s">
        <v>355</v>
      </c>
      <c r="C62" s="5" t="s">
        <v>15</v>
      </c>
      <c r="D62" s="5" t="s">
        <v>429</v>
      </c>
      <c r="E62" s="5" t="s">
        <v>430</v>
      </c>
      <c r="F62" s="5" t="s">
        <v>102</v>
      </c>
      <c r="G62" s="5" t="s">
        <v>431</v>
      </c>
      <c r="H62" s="5" t="s">
        <v>432</v>
      </c>
      <c r="I62" s="5" t="s">
        <v>433</v>
      </c>
      <c r="J62" s="5" t="s">
        <v>4</v>
      </c>
      <c r="K62" s="5" t="s">
        <v>50</v>
      </c>
      <c r="L62" s="5"/>
    </row>
    <row r="63" spans="1:12" ht="41.4">
      <c r="A63" s="5" t="s">
        <v>434</v>
      </c>
      <c r="B63" s="5" t="s">
        <v>355</v>
      </c>
      <c r="C63" s="5" t="s">
        <v>15</v>
      </c>
      <c r="D63" s="5" t="s">
        <v>435</v>
      </c>
      <c r="E63" s="5" t="s">
        <v>436</v>
      </c>
      <c r="F63" s="5" t="s">
        <v>398</v>
      </c>
      <c r="G63" s="5" t="s">
        <v>399</v>
      </c>
      <c r="H63" s="5" t="s">
        <v>437</v>
      </c>
      <c r="I63" s="5" t="s">
        <v>438</v>
      </c>
      <c r="J63" s="5" t="s">
        <v>4</v>
      </c>
      <c r="K63" s="5" t="s">
        <v>42</v>
      </c>
      <c r="L63" s="5"/>
    </row>
    <row r="64" spans="1:12" ht="27.6">
      <c r="A64" s="5" t="s">
        <v>439</v>
      </c>
      <c r="B64" s="5" t="s">
        <v>440</v>
      </c>
      <c r="C64" s="5" t="s">
        <v>19</v>
      </c>
      <c r="D64" s="5" t="s">
        <v>441</v>
      </c>
      <c r="E64" s="5" t="s">
        <v>442</v>
      </c>
      <c r="F64" s="5" t="s">
        <v>240</v>
      </c>
      <c r="G64" s="5" t="s">
        <v>443</v>
      </c>
      <c r="H64" s="5" t="s">
        <v>444</v>
      </c>
      <c r="I64" s="5" t="s">
        <v>445</v>
      </c>
      <c r="J64" s="5" t="s">
        <v>4</v>
      </c>
      <c r="K64" s="5" t="s">
        <v>42</v>
      </c>
      <c r="L64" s="5"/>
    </row>
    <row r="65" spans="1:12" ht="27.6">
      <c r="A65" s="5" t="s">
        <v>446</v>
      </c>
      <c r="B65" s="5" t="s">
        <v>440</v>
      </c>
      <c r="C65" s="5" t="s">
        <v>19</v>
      </c>
      <c r="D65" s="5" t="s">
        <v>447</v>
      </c>
      <c r="E65" s="5" t="s">
        <v>448</v>
      </c>
      <c r="F65" s="5" t="s">
        <v>449</v>
      </c>
      <c r="G65" s="5" t="s">
        <v>450</v>
      </c>
      <c r="H65" s="5" t="s">
        <v>451</v>
      </c>
      <c r="I65" s="5" t="s">
        <v>452</v>
      </c>
      <c r="J65" s="5" t="s">
        <v>4</v>
      </c>
      <c r="K65" s="5" t="s">
        <v>42</v>
      </c>
      <c r="L65" s="5"/>
    </row>
    <row r="66" spans="1:12" ht="27.6">
      <c r="A66" s="5" t="s">
        <v>453</v>
      </c>
      <c r="B66" s="5" t="s">
        <v>440</v>
      </c>
      <c r="C66" s="5" t="s">
        <v>19</v>
      </c>
      <c r="D66" s="5" t="s">
        <v>454</v>
      </c>
      <c r="E66" s="5" t="s">
        <v>455</v>
      </c>
      <c r="F66" s="5" t="s">
        <v>102</v>
      </c>
      <c r="G66" s="5" t="s">
        <v>456</v>
      </c>
      <c r="H66" s="5" t="s">
        <v>457</v>
      </c>
      <c r="I66" s="5" t="s">
        <v>458</v>
      </c>
      <c r="J66" s="5" t="s">
        <v>4</v>
      </c>
      <c r="K66" s="5" t="s">
        <v>50</v>
      </c>
      <c r="L66" s="5"/>
    </row>
    <row r="67" spans="1:12" ht="27.6">
      <c r="A67" s="5" t="s">
        <v>459</v>
      </c>
      <c r="B67" s="5" t="s">
        <v>440</v>
      </c>
      <c r="C67" s="5" t="s">
        <v>19</v>
      </c>
      <c r="D67" s="5" t="s">
        <v>460</v>
      </c>
      <c r="E67" s="5" t="s">
        <v>461</v>
      </c>
      <c r="F67" s="5" t="s">
        <v>462</v>
      </c>
      <c r="G67" s="5" t="s">
        <v>463</v>
      </c>
      <c r="H67" s="5" t="s">
        <v>464</v>
      </c>
      <c r="I67" s="5" t="s">
        <v>465</v>
      </c>
      <c r="J67" s="5" t="s">
        <v>4</v>
      </c>
      <c r="K67" s="5" t="s">
        <v>50</v>
      </c>
      <c r="L67" s="5"/>
    </row>
    <row r="68" spans="1:12" ht="27.6">
      <c r="A68" s="5" t="s">
        <v>466</v>
      </c>
      <c r="B68" s="5" t="s">
        <v>440</v>
      </c>
      <c r="C68" s="5" t="s">
        <v>19</v>
      </c>
      <c r="D68" s="5" t="s">
        <v>467</v>
      </c>
      <c r="E68" s="5" t="s">
        <v>468</v>
      </c>
      <c r="F68" s="5" t="s">
        <v>469</v>
      </c>
      <c r="G68" s="5" t="s">
        <v>470</v>
      </c>
      <c r="H68" s="5" t="s">
        <v>471</v>
      </c>
      <c r="I68" s="5" t="s">
        <v>472</v>
      </c>
      <c r="J68" s="5" t="s">
        <v>4</v>
      </c>
      <c r="K68" s="5" t="s">
        <v>42</v>
      </c>
      <c r="L68" s="5"/>
    </row>
    <row r="69" spans="1:12" ht="27.6">
      <c r="A69" s="5" t="s">
        <v>473</v>
      </c>
      <c r="B69" s="5" t="s">
        <v>440</v>
      </c>
      <c r="C69" s="5" t="s">
        <v>19</v>
      </c>
      <c r="D69" s="5" t="s">
        <v>474</v>
      </c>
      <c r="E69" s="5" t="s">
        <v>475</v>
      </c>
      <c r="F69" s="5" t="s">
        <v>476</v>
      </c>
      <c r="G69" s="5" t="s">
        <v>477</v>
      </c>
      <c r="H69" s="5" t="s">
        <v>478</v>
      </c>
      <c r="I69" s="5" t="s">
        <v>479</v>
      </c>
      <c r="J69" s="5" t="s">
        <v>4</v>
      </c>
      <c r="K69" s="5" t="s">
        <v>42</v>
      </c>
      <c r="L69" s="5"/>
    </row>
    <row r="70" spans="1:12" ht="27.6">
      <c r="A70" s="5" t="s">
        <v>480</v>
      </c>
      <c r="B70" s="5" t="s">
        <v>440</v>
      </c>
      <c r="C70" s="5" t="s">
        <v>19</v>
      </c>
      <c r="D70" s="5" t="s">
        <v>481</v>
      </c>
      <c r="E70" s="5" t="s">
        <v>482</v>
      </c>
      <c r="F70" s="5" t="s">
        <v>483</v>
      </c>
      <c r="G70" s="5" t="s">
        <v>484</v>
      </c>
      <c r="H70" s="5" t="s">
        <v>485</v>
      </c>
      <c r="I70" s="5" t="s">
        <v>486</v>
      </c>
      <c r="J70" s="5" t="s">
        <v>4</v>
      </c>
      <c r="K70" s="5" t="s">
        <v>42</v>
      </c>
      <c r="L70" s="5"/>
    </row>
    <row r="71" spans="1:12" ht="27.6">
      <c r="A71" s="5" t="s">
        <v>487</v>
      </c>
      <c r="B71" s="5" t="s">
        <v>440</v>
      </c>
      <c r="C71" s="5" t="s">
        <v>19</v>
      </c>
      <c r="D71" s="5" t="s">
        <v>488</v>
      </c>
      <c r="E71" s="5" t="s">
        <v>489</v>
      </c>
      <c r="F71" s="5" t="s">
        <v>490</v>
      </c>
      <c r="G71" s="5" t="s">
        <v>491</v>
      </c>
      <c r="H71" s="5" t="s">
        <v>492</v>
      </c>
      <c r="I71" s="5" t="s">
        <v>493</v>
      </c>
      <c r="J71" s="5" t="s">
        <v>4</v>
      </c>
      <c r="K71" s="5" t="s">
        <v>50</v>
      </c>
      <c r="L71" s="5"/>
    </row>
    <row r="72" spans="1:12" ht="27.6">
      <c r="A72" s="5" t="s">
        <v>494</v>
      </c>
      <c r="B72" s="5" t="s">
        <v>440</v>
      </c>
      <c r="C72" s="5" t="s">
        <v>19</v>
      </c>
      <c r="D72" s="5" t="s">
        <v>495</v>
      </c>
      <c r="E72" s="5" t="s">
        <v>496</v>
      </c>
      <c r="F72" s="5" t="s">
        <v>497</v>
      </c>
      <c r="G72" s="5" t="s">
        <v>463</v>
      </c>
      <c r="H72" s="5" t="s">
        <v>498</v>
      </c>
      <c r="I72" s="5" t="s">
        <v>499</v>
      </c>
      <c r="J72" s="5" t="s">
        <v>4</v>
      </c>
      <c r="K72" s="5" t="s">
        <v>50</v>
      </c>
      <c r="L72" s="5"/>
    </row>
    <row r="73" spans="1:12" ht="27.6">
      <c r="A73" s="5" t="s">
        <v>500</v>
      </c>
      <c r="B73" s="5" t="s">
        <v>440</v>
      </c>
      <c r="C73" s="5" t="s">
        <v>19</v>
      </c>
      <c r="D73" s="5" t="s">
        <v>501</v>
      </c>
      <c r="E73" s="5" t="s">
        <v>502</v>
      </c>
      <c r="F73" s="5" t="s">
        <v>503</v>
      </c>
      <c r="G73" s="5" t="s">
        <v>463</v>
      </c>
      <c r="H73" s="5" t="s">
        <v>504</v>
      </c>
      <c r="I73" s="5" t="s">
        <v>505</v>
      </c>
      <c r="J73" s="5" t="s">
        <v>4</v>
      </c>
      <c r="K73" s="5" t="s">
        <v>50</v>
      </c>
      <c r="L73" s="5"/>
    </row>
    <row r="74" spans="1:12" ht="41.4">
      <c r="A74" s="5" t="s">
        <v>506</v>
      </c>
      <c r="B74" s="5" t="s">
        <v>440</v>
      </c>
      <c r="C74" s="5" t="s">
        <v>19</v>
      </c>
      <c r="D74" s="5" t="s">
        <v>507</v>
      </c>
      <c r="E74" s="5" t="s">
        <v>508</v>
      </c>
      <c r="F74" s="5" t="s">
        <v>509</v>
      </c>
      <c r="G74" s="5" t="s">
        <v>510</v>
      </c>
      <c r="H74" s="5" t="s">
        <v>511</v>
      </c>
      <c r="I74" s="5" t="s">
        <v>512</v>
      </c>
      <c r="J74" s="5" t="s">
        <v>4</v>
      </c>
      <c r="K74" s="5" t="s">
        <v>50</v>
      </c>
      <c r="L74" s="5"/>
    </row>
    <row r="75" spans="1:12" ht="27.6">
      <c r="A75" s="5" t="s">
        <v>513</v>
      </c>
      <c r="B75" s="5" t="s">
        <v>440</v>
      </c>
      <c r="C75" s="5" t="s">
        <v>19</v>
      </c>
      <c r="D75" s="5" t="s">
        <v>514</v>
      </c>
      <c r="E75" s="5" t="s">
        <v>515</v>
      </c>
      <c r="F75" s="5" t="s">
        <v>516</v>
      </c>
      <c r="G75" s="5" t="s">
        <v>517</v>
      </c>
      <c r="H75" s="5" t="s">
        <v>518</v>
      </c>
      <c r="I75" s="5" t="s">
        <v>519</v>
      </c>
      <c r="J75" s="5" t="s">
        <v>4</v>
      </c>
      <c r="K75" s="5" t="s">
        <v>42</v>
      </c>
      <c r="L75" s="5"/>
    </row>
    <row r="76" spans="1:12" ht="27.6">
      <c r="A76" s="5" t="s">
        <v>520</v>
      </c>
      <c r="B76" s="5" t="s">
        <v>521</v>
      </c>
      <c r="C76" s="5" t="s">
        <v>16</v>
      </c>
      <c r="D76" s="5" t="s">
        <v>522</v>
      </c>
      <c r="E76" s="5" t="s">
        <v>523</v>
      </c>
      <c r="F76" s="5" t="s">
        <v>524</v>
      </c>
      <c r="G76" s="5" t="s">
        <v>61</v>
      </c>
      <c r="H76" s="5" t="s">
        <v>525</v>
      </c>
      <c r="I76" s="5" t="s">
        <v>526</v>
      </c>
      <c r="J76" s="5" t="s">
        <v>4</v>
      </c>
      <c r="K76" s="5" t="s">
        <v>50</v>
      </c>
      <c r="L76" s="5"/>
    </row>
    <row r="77" spans="1:12" ht="27.6">
      <c r="A77" s="5" t="s">
        <v>527</v>
      </c>
      <c r="B77" s="5" t="s">
        <v>521</v>
      </c>
      <c r="C77" s="5" t="s">
        <v>16</v>
      </c>
      <c r="D77" s="5" t="s">
        <v>528</v>
      </c>
      <c r="E77" s="5" t="s">
        <v>529</v>
      </c>
      <c r="F77" s="5" t="s">
        <v>524</v>
      </c>
      <c r="G77" s="5" t="s">
        <v>61</v>
      </c>
      <c r="H77" s="5" t="s">
        <v>530</v>
      </c>
      <c r="I77" s="5" t="s">
        <v>531</v>
      </c>
      <c r="J77" s="5" t="s">
        <v>4</v>
      </c>
      <c r="K77" s="5" t="s">
        <v>42</v>
      </c>
      <c r="L77" s="5"/>
    </row>
    <row r="78" spans="1:12" ht="27.6">
      <c r="A78" s="5" t="s">
        <v>532</v>
      </c>
      <c r="B78" s="5" t="s">
        <v>521</v>
      </c>
      <c r="C78" s="5" t="s">
        <v>16</v>
      </c>
      <c r="D78" s="5" t="s">
        <v>533</v>
      </c>
      <c r="E78" s="5" t="s">
        <v>534</v>
      </c>
      <c r="F78" s="5" t="s">
        <v>535</v>
      </c>
      <c r="G78" s="5" t="s">
        <v>304</v>
      </c>
      <c r="H78" s="5" t="s">
        <v>536</v>
      </c>
      <c r="I78" s="5" t="s">
        <v>537</v>
      </c>
      <c r="J78" s="5" t="s">
        <v>4</v>
      </c>
      <c r="K78" s="5" t="s">
        <v>50</v>
      </c>
      <c r="L78" s="5"/>
    </row>
    <row r="79" spans="1:12">
      <c r="A79" s="5" t="s">
        <v>538</v>
      </c>
      <c r="B79" s="5" t="s">
        <v>521</v>
      </c>
      <c r="C79" s="5" t="s">
        <v>16</v>
      </c>
      <c r="D79" s="5" t="s">
        <v>539</v>
      </c>
      <c r="E79" s="5" t="s">
        <v>540</v>
      </c>
      <c r="F79" s="5" t="s">
        <v>541</v>
      </c>
      <c r="G79" s="5" t="s">
        <v>61</v>
      </c>
      <c r="H79" s="5" t="s">
        <v>542</v>
      </c>
      <c r="I79" s="5" t="s">
        <v>543</v>
      </c>
      <c r="J79" s="5" t="s">
        <v>4</v>
      </c>
      <c r="K79" s="5" t="s">
        <v>50</v>
      </c>
      <c r="L79" s="5"/>
    </row>
    <row r="80" spans="1:12" ht="41.4">
      <c r="A80" s="5" t="s">
        <v>544</v>
      </c>
      <c r="B80" s="5" t="s">
        <v>521</v>
      </c>
      <c r="C80" s="5" t="s">
        <v>16</v>
      </c>
      <c r="D80" s="5" t="s">
        <v>545</v>
      </c>
      <c r="E80" s="5" t="s">
        <v>546</v>
      </c>
      <c r="F80" s="5" t="s">
        <v>102</v>
      </c>
      <c r="G80" s="5" t="s">
        <v>547</v>
      </c>
      <c r="H80" s="5" t="s">
        <v>548</v>
      </c>
      <c r="I80" s="5" t="s">
        <v>549</v>
      </c>
      <c r="J80" s="5" t="s">
        <v>4</v>
      </c>
      <c r="K80" s="5" t="s">
        <v>42</v>
      </c>
      <c r="L80" s="5"/>
    </row>
    <row r="81" spans="1:12" ht="55.2">
      <c r="A81" s="5" t="s">
        <v>550</v>
      </c>
      <c r="B81" s="5" t="s">
        <v>521</v>
      </c>
      <c r="C81" s="5" t="s">
        <v>16</v>
      </c>
      <c r="D81" s="5" t="s">
        <v>551</v>
      </c>
      <c r="E81" s="5" t="s">
        <v>552</v>
      </c>
      <c r="F81" s="5" t="s">
        <v>553</v>
      </c>
      <c r="G81" s="5" t="s">
        <v>61</v>
      </c>
      <c r="H81" s="5" t="s">
        <v>554</v>
      </c>
      <c r="I81" s="5" t="s">
        <v>555</v>
      </c>
      <c r="J81" s="5" t="s">
        <v>4</v>
      </c>
      <c r="K81" s="5" t="s">
        <v>50</v>
      </c>
      <c r="L81" s="5"/>
    </row>
    <row r="82" spans="1:12" ht="27.6">
      <c r="A82" s="5" t="s">
        <v>556</v>
      </c>
      <c r="B82" s="5" t="s">
        <v>521</v>
      </c>
      <c r="C82" s="5" t="s">
        <v>16</v>
      </c>
      <c r="D82" s="5" t="s">
        <v>557</v>
      </c>
      <c r="E82" s="5" t="s">
        <v>558</v>
      </c>
      <c r="F82" s="5" t="s">
        <v>524</v>
      </c>
      <c r="G82" s="5" t="s">
        <v>61</v>
      </c>
      <c r="H82" s="5" t="s">
        <v>559</v>
      </c>
      <c r="I82" s="5" t="s">
        <v>560</v>
      </c>
      <c r="J82" s="5" t="s">
        <v>4</v>
      </c>
      <c r="K82" s="5" t="s">
        <v>71</v>
      </c>
      <c r="L82" s="5"/>
    </row>
    <row r="83" spans="1:12" ht="27.6">
      <c r="A83" s="5" t="s">
        <v>561</v>
      </c>
      <c r="B83" s="5" t="s">
        <v>521</v>
      </c>
      <c r="C83" s="5" t="s">
        <v>16</v>
      </c>
      <c r="D83" s="5" t="s">
        <v>562</v>
      </c>
      <c r="E83" s="5" t="s">
        <v>563</v>
      </c>
      <c r="F83" s="5" t="s">
        <v>564</v>
      </c>
      <c r="G83" s="5" t="s">
        <v>565</v>
      </c>
      <c r="H83" s="5" t="s">
        <v>566</v>
      </c>
      <c r="I83" s="5" t="s">
        <v>567</v>
      </c>
      <c r="J83" s="5" t="s">
        <v>4</v>
      </c>
      <c r="K83" s="5" t="s">
        <v>71</v>
      </c>
      <c r="L83" s="5"/>
    </row>
    <row r="84" spans="1:12" ht="41.4">
      <c r="A84" s="5" t="s">
        <v>568</v>
      </c>
      <c r="B84" s="5" t="s">
        <v>521</v>
      </c>
      <c r="C84" s="5" t="s">
        <v>16</v>
      </c>
      <c r="D84" s="5" t="s">
        <v>569</v>
      </c>
      <c r="E84" s="5" t="s">
        <v>570</v>
      </c>
      <c r="F84" s="5" t="s">
        <v>571</v>
      </c>
      <c r="G84" s="5" t="s">
        <v>61</v>
      </c>
      <c r="H84" s="5" t="s">
        <v>572</v>
      </c>
      <c r="I84" s="5" t="s">
        <v>573</v>
      </c>
      <c r="J84" s="5" t="s">
        <v>4</v>
      </c>
      <c r="K84" s="5" t="s">
        <v>50</v>
      </c>
      <c r="L84" s="5"/>
    </row>
  </sheetData>
  <conditionalFormatting sqref="J2:J84">
    <cfRule type="expression" dxfId="2" priority="1">
      <formula>J2="Pass"</formula>
    </cfRule>
    <cfRule type="expression" dxfId="1" priority="2">
      <formula>J2="Fail"</formula>
    </cfRule>
    <cfRule type="expression" dxfId="0" priority="3">
      <formula>J2="Blocked"</formula>
    </cfRule>
  </conditionalFormatting>
  <dataValidations count="2">
    <dataValidation type="list" sqref="J2:J84" xr:uid="{00000000-0002-0000-0100-000000000000}">
      <formula1>"Not Run,Pass,Fail,Blocked,N/A"</formula1>
    </dataValidation>
    <dataValidation type="list" sqref="K2:K84" xr:uid="{00000000-0002-0000-0100-000001000000}">
      <formula1>"P0,P1,P2"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3.8"/>
  <cols>
    <col min="1" max="1" width="28" customWidth="1"/>
    <col min="2" max="2" width="48" customWidth="1"/>
    <col min="3" max="3" width="52" customWidth="1"/>
  </cols>
  <sheetData>
    <row r="1" spans="1:15">
      <c r="A1" s="4" t="s">
        <v>574</v>
      </c>
      <c r="B1" s="4" t="s">
        <v>575</v>
      </c>
      <c r="C1" s="4" t="s">
        <v>33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5" t="s">
        <v>576</v>
      </c>
      <c r="B2" s="5" t="s">
        <v>577</v>
      </c>
      <c r="C2" s="5" t="s">
        <v>578</v>
      </c>
    </row>
    <row r="3" spans="1:15">
      <c r="A3" s="5" t="s">
        <v>579</v>
      </c>
      <c r="B3" s="5" t="s">
        <v>580</v>
      </c>
      <c r="C3" s="5" t="s">
        <v>581</v>
      </c>
    </row>
    <row r="4" spans="1:15">
      <c r="A4" s="5" t="s">
        <v>582</v>
      </c>
      <c r="B4" s="5" t="s">
        <v>583</v>
      </c>
      <c r="C4" s="5" t="s">
        <v>584</v>
      </c>
    </row>
    <row r="5" spans="1:15">
      <c r="A5" s="5" t="s">
        <v>585</v>
      </c>
      <c r="B5" s="5" t="s">
        <v>586</v>
      </c>
      <c r="C5" s="5" t="s">
        <v>587</v>
      </c>
    </row>
    <row r="6" spans="1:15">
      <c r="A6" s="5" t="s">
        <v>588</v>
      </c>
      <c r="B6" s="5" t="s">
        <v>589</v>
      </c>
      <c r="C6" s="5" t="s">
        <v>590</v>
      </c>
    </row>
    <row r="7" spans="1:15">
      <c r="A7" s="5" t="s">
        <v>591</v>
      </c>
      <c r="B7" s="5" t="s">
        <v>592</v>
      </c>
      <c r="C7" s="5" t="s">
        <v>593</v>
      </c>
    </row>
    <row r="8" spans="1:15">
      <c r="A8" s="5" t="s">
        <v>594</v>
      </c>
      <c r="B8" s="5" t="s">
        <v>595</v>
      </c>
      <c r="C8" s="5" t="s">
        <v>587</v>
      </c>
    </row>
    <row r="9" spans="1:15">
      <c r="A9" s="5" t="s">
        <v>596</v>
      </c>
      <c r="B9" s="5" t="s">
        <v>589</v>
      </c>
      <c r="C9" s="5" t="s">
        <v>590</v>
      </c>
    </row>
    <row r="10" spans="1:15">
      <c r="A10" s="5" t="s">
        <v>597</v>
      </c>
      <c r="B10" s="5" t="s">
        <v>222</v>
      </c>
      <c r="C10" s="5" t="s">
        <v>598</v>
      </c>
    </row>
    <row r="11" spans="1:15">
      <c r="A11" s="5" t="s">
        <v>599</v>
      </c>
      <c r="B11" s="5" t="s">
        <v>228</v>
      </c>
      <c r="C11" s="5" t="s">
        <v>598</v>
      </c>
    </row>
    <row r="12" spans="1:15">
      <c r="A12" s="5" t="s">
        <v>168</v>
      </c>
      <c r="B12" s="5" t="s">
        <v>170</v>
      </c>
      <c r="C12" s="5" t="s">
        <v>600</v>
      </c>
    </row>
    <row r="13" spans="1:15">
      <c r="A13" s="5" t="s">
        <v>601</v>
      </c>
      <c r="B13" s="5" t="s">
        <v>359</v>
      </c>
      <c r="C13" s="5" t="s">
        <v>602</v>
      </c>
    </row>
    <row r="14" spans="1:15">
      <c r="A14" s="5" t="s">
        <v>603</v>
      </c>
      <c r="B14" s="5" t="s">
        <v>366</v>
      </c>
      <c r="C14" s="5" t="s">
        <v>602</v>
      </c>
    </row>
    <row r="15" spans="1:15" ht="27.6">
      <c r="A15" s="5" t="s">
        <v>604</v>
      </c>
      <c r="B15" s="5" t="s">
        <v>605</v>
      </c>
      <c r="C15" s="5" t="s">
        <v>606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"/>
  <sheetViews>
    <sheetView workbookViewId="0"/>
  </sheetViews>
  <sheetFormatPr defaultRowHeight="13.8"/>
  <cols>
    <col min="1" max="1" width="12" customWidth="1"/>
    <col min="2" max="2" width="28" customWidth="1"/>
    <col min="3" max="3" width="50" customWidth="1"/>
    <col min="4" max="4" width="28" customWidth="1"/>
  </cols>
  <sheetData>
    <row r="1" spans="1:15">
      <c r="A1" s="4" t="s">
        <v>22</v>
      </c>
      <c r="B1" s="4" t="s">
        <v>607</v>
      </c>
      <c r="C1" s="4" t="s">
        <v>608</v>
      </c>
      <c r="D1" s="4" t="s">
        <v>609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7.6">
      <c r="A2" s="5" t="s">
        <v>35</v>
      </c>
      <c r="B2" s="5" t="s">
        <v>610</v>
      </c>
      <c r="C2" s="5" t="s">
        <v>611</v>
      </c>
      <c r="D2" s="5" t="s">
        <v>612</v>
      </c>
    </row>
    <row r="3" spans="1:15" ht="27.6">
      <c r="A3" s="5" t="s">
        <v>148</v>
      </c>
      <c r="B3" s="5" t="s">
        <v>613</v>
      </c>
      <c r="C3" s="5" t="s">
        <v>614</v>
      </c>
      <c r="D3" s="5" t="s">
        <v>615</v>
      </c>
    </row>
    <row r="4" spans="1:15" ht="27.6">
      <c r="A4" s="5" t="s">
        <v>211</v>
      </c>
      <c r="B4" s="5" t="s">
        <v>616</v>
      </c>
      <c r="C4" s="5" t="s">
        <v>617</v>
      </c>
      <c r="D4" s="5" t="s">
        <v>618</v>
      </c>
    </row>
    <row r="5" spans="1:15" ht="27.6">
      <c r="A5" s="5" t="s">
        <v>262</v>
      </c>
      <c r="B5" s="5" t="s">
        <v>619</v>
      </c>
      <c r="C5" s="5" t="s">
        <v>620</v>
      </c>
      <c r="D5" s="5" t="s">
        <v>621</v>
      </c>
    </row>
    <row r="6" spans="1:15">
      <c r="A6" s="5" t="s">
        <v>301</v>
      </c>
      <c r="B6" s="5" t="s">
        <v>622</v>
      </c>
      <c r="C6" s="5" t="s">
        <v>623</v>
      </c>
      <c r="D6" s="5" t="s">
        <v>624</v>
      </c>
    </row>
    <row r="7" spans="1:15" ht="27.6">
      <c r="A7" s="5" t="s">
        <v>355</v>
      </c>
      <c r="B7" s="5" t="s">
        <v>625</v>
      </c>
      <c r="C7" s="5" t="s">
        <v>626</v>
      </c>
      <c r="D7" s="5" t="s">
        <v>627</v>
      </c>
    </row>
    <row r="8" spans="1:15" ht="27.6">
      <c r="A8" s="5" t="s">
        <v>440</v>
      </c>
      <c r="B8" s="5" t="s">
        <v>19</v>
      </c>
      <c r="C8" s="5" t="s">
        <v>628</v>
      </c>
      <c r="D8" s="5" t="s">
        <v>629</v>
      </c>
    </row>
    <row r="9" spans="1:15">
      <c r="A9" s="5" t="s">
        <v>521</v>
      </c>
      <c r="B9" s="5" t="s">
        <v>630</v>
      </c>
      <c r="C9" s="5" t="s">
        <v>631</v>
      </c>
      <c r="D9" s="5" t="s">
        <v>632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/>
  </sheetViews>
  <sheetFormatPr defaultRowHeight="13.8"/>
  <cols>
    <col min="1" max="1" width="16" customWidth="1"/>
    <col min="2" max="2" width="12" customWidth="1"/>
    <col min="3" max="3" width="44" customWidth="1"/>
    <col min="4" max="4" width="14" customWidth="1"/>
    <col min="5" max="5" width="42" customWidth="1"/>
    <col min="6" max="6" width="38" customWidth="1"/>
  </cols>
  <sheetData>
    <row r="1" spans="1:15">
      <c r="A1" s="4" t="s">
        <v>633</v>
      </c>
      <c r="B1" s="4" t="s">
        <v>634</v>
      </c>
      <c r="C1" s="4" t="s">
        <v>635</v>
      </c>
      <c r="D1" s="4" t="s">
        <v>636</v>
      </c>
      <c r="E1" s="4" t="s">
        <v>637</v>
      </c>
      <c r="F1" s="4" t="s">
        <v>29</v>
      </c>
      <c r="G1" s="2"/>
      <c r="H1" s="2"/>
      <c r="I1" s="2"/>
      <c r="J1" s="2"/>
      <c r="K1" s="2"/>
      <c r="L1" s="2"/>
      <c r="M1" s="2"/>
      <c r="N1" s="2"/>
      <c r="O1" s="2"/>
    </row>
    <row r="2" spans="1:15">
      <c r="A2" s="5" t="s">
        <v>638</v>
      </c>
      <c r="B2" s="5" t="s">
        <v>639</v>
      </c>
      <c r="C2" s="5" t="s">
        <v>640</v>
      </c>
      <c r="D2" s="5" t="s">
        <v>641</v>
      </c>
      <c r="E2" s="5"/>
      <c r="F2" s="5" t="s">
        <v>642</v>
      </c>
    </row>
    <row r="3" spans="1:15" ht="27.6">
      <c r="A3" s="5" t="s">
        <v>643</v>
      </c>
      <c r="B3" s="5" t="s">
        <v>644</v>
      </c>
      <c r="C3" s="5" t="s">
        <v>645</v>
      </c>
      <c r="D3" s="5" t="s">
        <v>641</v>
      </c>
      <c r="E3" s="5" t="s">
        <v>646</v>
      </c>
      <c r="F3" s="5" t="s">
        <v>647</v>
      </c>
    </row>
    <row r="4" spans="1:15">
      <c r="A4" s="5" t="s">
        <v>643</v>
      </c>
      <c r="B4" s="5" t="s">
        <v>644</v>
      </c>
      <c r="C4" s="5" t="s">
        <v>648</v>
      </c>
      <c r="D4" s="5" t="s">
        <v>641</v>
      </c>
      <c r="E4" s="5" t="s">
        <v>649</v>
      </c>
      <c r="F4" s="5" t="s">
        <v>650</v>
      </c>
    </row>
    <row r="5" spans="1:15">
      <c r="A5" s="5" t="s">
        <v>643</v>
      </c>
      <c r="B5" s="5" t="s">
        <v>639</v>
      </c>
      <c r="C5" s="5" t="s">
        <v>651</v>
      </c>
      <c r="D5" s="5" t="s">
        <v>652</v>
      </c>
      <c r="E5" s="5"/>
      <c r="F5" s="5" t="s">
        <v>653</v>
      </c>
    </row>
    <row r="6" spans="1:15">
      <c r="A6" s="5" t="s">
        <v>643</v>
      </c>
      <c r="B6" s="5" t="s">
        <v>639</v>
      </c>
      <c r="C6" s="5" t="s">
        <v>654</v>
      </c>
      <c r="D6" s="5" t="s">
        <v>652</v>
      </c>
      <c r="E6" s="5"/>
      <c r="F6" s="5" t="s">
        <v>655</v>
      </c>
    </row>
    <row r="7" spans="1:15">
      <c r="A7" s="5" t="s">
        <v>656</v>
      </c>
      <c r="B7" s="5" t="s">
        <v>644</v>
      </c>
      <c r="C7" s="5" t="s">
        <v>657</v>
      </c>
      <c r="D7" s="5" t="s">
        <v>652</v>
      </c>
      <c r="E7" s="5" t="s">
        <v>658</v>
      </c>
      <c r="F7" s="5" t="s">
        <v>659</v>
      </c>
    </row>
    <row r="8" spans="1:15" ht="27.6">
      <c r="A8" s="5" t="s">
        <v>656</v>
      </c>
      <c r="B8" s="5" t="s">
        <v>644</v>
      </c>
      <c r="C8" s="5" t="s">
        <v>660</v>
      </c>
      <c r="D8" s="5" t="s">
        <v>652</v>
      </c>
      <c r="E8" s="5" t="s">
        <v>661</v>
      </c>
      <c r="F8" s="5" t="s">
        <v>662</v>
      </c>
    </row>
    <row r="9" spans="1:15" ht="27.6">
      <c r="A9" s="5" t="s">
        <v>663</v>
      </c>
      <c r="B9" s="5" t="s">
        <v>644</v>
      </c>
      <c r="C9" s="5" t="s">
        <v>664</v>
      </c>
      <c r="D9" s="5" t="s">
        <v>665</v>
      </c>
      <c r="E9" s="5" t="s">
        <v>666</v>
      </c>
      <c r="F9" s="5" t="s">
        <v>667</v>
      </c>
    </row>
    <row r="10" spans="1:15" ht="27.6">
      <c r="A10" s="5" t="s">
        <v>17</v>
      </c>
      <c r="B10" s="5" t="s">
        <v>639</v>
      </c>
      <c r="C10" s="5" t="s">
        <v>668</v>
      </c>
      <c r="D10" s="5" t="s">
        <v>652</v>
      </c>
      <c r="E10" s="5"/>
      <c r="F10" s="5" t="s">
        <v>669</v>
      </c>
    </row>
    <row r="11" spans="1:15">
      <c r="A11" s="5" t="s">
        <v>17</v>
      </c>
      <c r="B11" s="5" t="s">
        <v>639</v>
      </c>
      <c r="C11" s="5" t="s">
        <v>670</v>
      </c>
      <c r="D11" s="5" t="s">
        <v>652</v>
      </c>
      <c r="E11" s="5"/>
      <c r="F11" s="5" t="s">
        <v>671</v>
      </c>
    </row>
    <row r="12" spans="1:15">
      <c r="A12" s="5" t="s">
        <v>17</v>
      </c>
      <c r="B12" s="5" t="s">
        <v>672</v>
      </c>
      <c r="C12" s="5" t="s">
        <v>673</v>
      </c>
      <c r="D12" s="5" t="s">
        <v>652</v>
      </c>
      <c r="E12" s="5"/>
      <c r="F12" s="5" t="s">
        <v>674</v>
      </c>
    </row>
    <row r="13" spans="1:15">
      <c r="A13" s="5" t="s">
        <v>15</v>
      </c>
      <c r="B13" s="5" t="s">
        <v>644</v>
      </c>
      <c r="C13" s="5" t="s">
        <v>675</v>
      </c>
      <c r="D13" s="5" t="s">
        <v>652</v>
      </c>
      <c r="E13" s="5" t="s">
        <v>676</v>
      </c>
      <c r="F13" s="5" t="s">
        <v>677</v>
      </c>
    </row>
    <row r="14" spans="1:15">
      <c r="A14" s="5" t="s">
        <v>15</v>
      </c>
      <c r="B14" s="5" t="s">
        <v>639</v>
      </c>
      <c r="C14" s="5" t="s">
        <v>678</v>
      </c>
      <c r="D14" s="5" t="s">
        <v>652</v>
      </c>
      <c r="E14" s="5"/>
      <c r="F14" s="5" t="s">
        <v>389</v>
      </c>
    </row>
    <row r="15" spans="1:15">
      <c r="A15" s="5" t="s">
        <v>15</v>
      </c>
      <c r="B15" s="5" t="s">
        <v>639</v>
      </c>
      <c r="C15" s="5" t="s">
        <v>679</v>
      </c>
      <c r="D15" s="5" t="s">
        <v>652</v>
      </c>
      <c r="E15" s="5"/>
      <c r="F15" s="5" t="s">
        <v>680</v>
      </c>
    </row>
    <row r="16" spans="1:15">
      <c r="A16" s="5" t="s">
        <v>15</v>
      </c>
      <c r="B16" s="5" t="s">
        <v>644</v>
      </c>
      <c r="C16" s="5" t="s">
        <v>681</v>
      </c>
      <c r="D16" s="5" t="s">
        <v>652</v>
      </c>
      <c r="E16" s="5" t="s">
        <v>682</v>
      </c>
      <c r="F16" s="5" t="s">
        <v>683</v>
      </c>
    </row>
    <row r="17" spans="1:6" ht="27.6">
      <c r="A17" s="5" t="s">
        <v>15</v>
      </c>
      <c r="B17" s="5" t="s">
        <v>644</v>
      </c>
      <c r="C17" s="5" t="s">
        <v>684</v>
      </c>
      <c r="D17" s="5" t="s">
        <v>652</v>
      </c>
      <c r="E17" s="5" t="s">
        <v>685</v>
      </c>
      <c r="F17" s="5" t="s">
        <v>686</v>
      </c>
    </row>
    <row r="18" spans="1:6">
      <c r="A18" s="5" t="s">
        <v>15</v>
      </c>
      <c r="B18" s="5" t="s">
        <v>672</v>
      </c>
      <c r="C18" s="5" t="s">
        <v>687</v>
      </c>
      <c r="D18" s="5" t="s">
        <v>652</v>
      </c>
      <c r="E18" s="5"/>
      <c r="F18" s="5" t="s">
        <v>435</v>
      </c>
    </row>
    <row r="19" spans="1:6">
      <c r="A19" s="5" t="s">
        <v>688</v>
      </c>
      <c r="B19" s="5" t="s">
        <v>639</v>
      </c>
      <c r="C19" s="5" t="s">
        <v>689</v>
      </c>
      <c r="D19" s="5" t="s">
        <v>641</v>
      </c>
      <c r="E19" s="5"/>
      <c r="F19" s="5" t="s">
        <v>690</v>
      </c>
    </row>
    <row r="20" spans="1:6">
      <c r="A20" s="5" t="s">
        <v>688</v>
      </c>
      <c r="B20" s="5" t="s">
        <v>644</v>
      </c>
      <c r="C20" s="5" t="s">
        <v>691</v>
      </c>
      <c r="D20" s="5" t="s">
        <v>652</v>
      </c>
      <c r="E20" s="5" t="s">
        <v>692</v>
      </c>
      <c r="F20" s="5" t="s">
        <v>693</v>
      </c>
    </row>
    <row r="21" spans="1:6">
      <c r="A21" s="5" t="s">
        <v>688</v>
      </c>
      <c r="B21" s="5" t="s">
        <v>639</v>
      </c>
      <c r="C21" s="5" t="s">
        <v>694</v>
      </c>
      <c r="D21" s="5" t="s">
        <v>652</v>
      </c>
      <c r="E21" s="5"/>
      <c r="F21" s="5" t="s">
        <v>695</v>
      </c>
    </row>
    <row r="22" spans="1:6">
      <c r="A22" s="5" t="s">
        <v>688</v>
      </c>
      <c r="B22" s="5" t="s">
        <v>644</v>
      </c>
      <c r="C22" s="5" t="s">
        <v>696</v>
      </c>
      <c r="D22" s="5" t="s">
        <v>652</v>
      </c>
      <c r="E22" s="5" t="s">
        <v>697</v>
      </c>
      <c r="F22" s="5" t="s">
        <v>698</v>
      </c>
    </row>
    <row r="23" spans="1:6" ht="27.6">
      <c r="A23" s="5" t="s">
        <v>688</v>
      </c>
      <c r="B23" s="5" t="s">
        <v>644</v>
      </c>
      <c r="C23" s="5" t="s">
        <v>699</v>
      </c>
      <c r="D23" s="5" t="s">
        <v>652</v>
      </c>
      <c r="E23" s="5"/>
      <c r="F23" s="5" t="s">
        <v>700</v>
      </c>
    </row>
    <row r="24" spans="1:6" ht="27.6">
      <c r="A24" s="5" t="s">
        <v>688</v>
      </c>
      <c r="B24" s="5" t="s">
        <v>639</v>
      </c>
      <c r="C24" s="5" t="s">
        <v>701</v>
      </c>
      <c r="D24" s="5" t="s">
        <v>652</v>
      </c>
      <c r="E24" s="5"/>
      <c r="F24" s="5" t="s">
        <v>702</v>
      </c>
    </row>
    <row r="25" spans="1:6">
      <c r="A25" s="5" t="s">
        <v>688</v>
      </c>
      <c r="B25" s="5" t="s">
        <v>639</v>
      </c>
      <c r="C25" s="5" t="s">
        <v>703</v>
      </c>
      <c r="D25" s="5" t="s">
        <v>652</v>
      </c>
      <c r="E25" s="5"/>
      <c r="F25" s="5" t="s">
        <v>704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1"/>
  <sheetViews>
    <sheetView workbookViewId="0"/>
  </sheetViews>
  <sheetFormatPr defaultRowHeight="13.8"/>
  <cols>
    <col min="1" max="2" width="14" customWidth="1"/>
    <col min="3" max="3" width="12" customWidth="1"/>
    <col min="4" max="4" width="18" customWidth="1"/>
    <col min="5" max="6" width="44" customWidth="1"/>
    <col min="7" max="8" width="32" customWidth="1"/>
    <col min="9" max="10" width="12" customWidth="1"/>
    <col min="11" max="11" width="18" customWidth="1"/>
    <col min="12" max="12" width="24" customWidth="1"/>
  </cols>
  <sheetData>
    <row r="1" spans="1:15">
      <c r="A1" s="4" t="s">
        <v>705</v>
      </c>
      <c r="B1" s="4" t="s">
        <v>706</v>
      </c>
      <c r="C1" s="4" t="s">
        <v>21</v>
      </c>
      <c r="D1" s="4" t="s">
        <v>23</v>
      </c>
      <c r="E1" s="4" t="s">
        <v>707</v>
      </c>
      <c r="F1" s="4" t="s">
        <v>708</v>
      </c>
      <c r="G1" s="4" t="s">
        <v>30</v>
      </c>
      <c r="H1" s="4" t="s">
        <v>709</v>
      </c>
      <c r="I1" s="4" t="s">
        <v>710</v>
      </c>
      <c r="J1" s="4" t="s">
        <v>31</v>
      </c>
      <c r="K1" s="4" t="s">
        <v>711</v>
      </c>
      <c r="L1" s="4" t="s">
        <v>33</v>
      </c>
      <c r="M1" s="2"/>
      <c r="N1" s="2"/>
      <c r="O1" s="2"/>
    </row>
    <row r="2" spans="1:15">
      <c r="A2" s="5" t="s">
        <v>712</v>
      </c>
      <c r="B2" s="5"/>
      <c r="C2" s="5"/>
      <c r="D2" s="5"/>
      <c r="E2" s="5"/>
      <c r="F2" s="5"/>
      <c r="G2" s="5"/>
      <c r="H2" s="5"/>
      <c r="I2" s="5" t="s">
        <v>713</v>
      </c>
      <c r="J2" s="5" t="s">
        <v>714</v>
      </c>
      <c r="K2" s="5"/>
      <c r="L2" s="5"/>
    </row>
    <row r="3" spans="1:15">
      <c r="A3" s="5" t="s">
        <v>715</v>
      </c>
      <c r="B3" s="5"/>
      <c r="C3" s="5"/>
      <c r="D3" s="5"/>
      <c r="E3" s="5"/>
      <c r="F3" s="5"/>
      <c r="G3" s="5"/>
      <c r="H3" s="5"/>
      <c r="I3" s="5" t="s">
        <v>713</v>
      </c>
      <c r="J3" s="5" t="s">
        <v>714</v>
      </c>
      <c r="K3" s="5"/>
      <c r="L3" s="5"/>
    </row>
    <row r="4" spans="1:15">
      <c r="A4" s="5" t="s">
        <v>716</v>
      </c>
      <c r="B4" s="5"/>
      <c r="C4" s="5"/>
      <c r="D4" s="5"/>
      <c r="E4" s="5"/>
      <c r="F4" s="5"/>
      <c r="G4" s="5"/>
      <c r="H4" s="5"/>
      <c r="I4" s="5" t="s">
        <v>713</v>
      </c>
      <c r="J4" s="5" t="s">
        <v>714</v>
      </c>
      <c r="K4" s="5"/>
      <c r="L4" s="5"/>
    </row>
    <row r="5" spans="1:15">
      <c r="A5" s="5" t="s">
        <v>717</v>
      </c>
      <c r="B5" s="5"/>
      <c r="C5" s="5"/>
      <c r="D5" s="5"/>
      <c r="E5" s="5"/>
      <c r="F5" s="5"/>
      <c r="G5" s="5"/>
      <c r="H5" s="5"/>
      <c r="I5" s="5" t="s">
        <v>713</v>
      </c>
      <c r="J5" s="5" t="s">
        <v>714</v>
      </c>
      <c r="K5" s="5"/>
      <c r="L5" s="5"/>
    </row>
    <row r="6" spans="1:15">
      <c r="A6" s="5" t="s">
        <v>718</v>
      </c>
      <c r="B6" s="5"/>
      <c r="C6" s="5"/>
      <c r="D6" s="5"/>
      <c r="E6" s="5"/>
      <c r="F6" s="5"/>
      <c r="G6" s="5"/>
      <c r="H6" s="5"/>
      <c r="I6" s="5" t="s">
        <v>713</v>
      </c>
      <c r="J6" s="5" t="s">
        <v>714</v>
      </c>
      <c r="K6" s="5"/>
      <c r="L6" s="5"/>
    </row>
    <row r="7" spans="1:15">
      <c r="A7" s="5" t="s">
        <v>719</v>
      </c>
      <c r="B7" s="5"/>
      <c r="C7" s="5"/>
      <c r="D7" s="5"/>
      <c r="E7" s="5"/>
      <c r="F7" s="5"/>
      <c r="G7" s="5"/>
      <c r="H7" s="5"/>
      <c r="I7" s="5" t="s">
        <v>713</v>
      </c>
      <c r="J7" s="5" t="s">
        <v>714</v>
      </c>
      <c r="K7" s="5"/>
      <c r="L7" s="5"/>
    </row>
    <row r="8" spans="1:15">
      <c r="A8" s="5" t="s">
        <v>720</v>
      </c>
      <c r="B8" s="5"/>
      <c r="C8" s="5"/>
      <c r="D8" s="5"/>
      <c r="E8" s="5"/>
      <c r="F8" s="5"/>
      <c r="G8" s="5"/>
      <c r="H8" s="5"/>
      <c r="I8" s="5" t="s">
        <v>713</v>
      </c>
      <c r="J8" s="5" t="s">
        <v>714</v>
      </c>
      <c r="K8" s="5"/>
      <c r="L8" s="5"/>
    </row>
    <row r="9" spans="1:15">
      <c r="A9" s="5" t="s">
        <v>721</v>
      </c>
      <c r="B9" s="5"/>
      <c r="C9" s="5"/>
      <c r="D9" s="5"/>
      <c r="E9" s="5"/>
      <c r="F9" s="5"/>
      <c r="G9" s="5"/>
      <c r="H9" s="5"/>
      <c r="I9" s="5" t="s">
        <v>713</v>
      </c>
      <c r="J9" s="5" t="s">
        <v>714</v>
      </c>
      <c r="K9" s="5"/>
      <c r="L9" s="5"/>
    </row>
    <row r="10" spans="1:15">
      <c r="A10" s="5" t="s">
        <v>722</v>
      </c>
      <c r="B10" s="5"/>
      <c r="C10" s="5"/>
      <c r="D10" s="5"/>
      <c r="E10" s="5"/>
      <c r="F10" s="5"/>
      <c r="G10" s="5"/>
      <c r="H10" s="5"/>
      <c r="I10" s="5" t="s">
        <v>713</v>
      </c>
      <c r="J10" s="5" t="s">
        <v>714</v>
      </c>
      <c r="K10" s="5"/>
      <c r="L10" s="5"/>
    </row>
    <row r="11" spans="1:15">
      <c r="A11" s="5" t="s">
        <v>723</v>
      </c>
      <c r="B11" s="5"/>
      <c r="C11" s="5"/>
      <c r="D11" s="5"/>
      <c r="E11" s="5"/>
      <c r="F11" s="5"/>
      <c r="G11" s="5"/>
      <c r="H11" s="5"/>
      <c r="I11" s="5" t="s">
        <v>713</v>
      </c>
      <c r="J11" s="5" t="s">
        <v>714</v>
      </c>
      <c r="K11" s="5"/>
      <c r="L11" s="5"/>
    </row>
    <row r="12" spans="1:15">
      <c r="A12" s="5" t="s">
        <v>724</v>
      </c>
      <c r="B12" s="5"/>
      <c r="C12" s="5"/>
      <c r="D12" s="5"/>
      <c r="E12" s="5"/>
      <c r="F12" s="5"/>
      <c r="G12" s="5"/>
      <c r="H12" s="5"/>
      <c r="I12" s="5" t="s">
        <v>713</v>
      </c>
      <c r="J12" s="5" t="s">
        <v>714</v>
      </c>
      <c r="K12" s="5"/>
      <c r="L12" s="5"/>
    </row>
    <row r="13" spans="1:15">
      <c r="A13" s="5" t="s">
        <v>725</v>
      </c>
      <c r="B13" s="5"/>
      <c r="C13" s="5"/>
      <c r="D13" s="5"/>
      <c r="E13" s="5"/>
      <c r="F13" s="5"/>
      <c r="G13" s="5"/>
      <c r="H13" s="5"/>
      <c r="I13" s="5" t="s">
        <v>713</v>
      </c>
      <c r="J13" s="5" t="s">
        <v>714</v>
      </c>
      <c r="K13" s="5"/>
      <c r="L13" s="5"/>
    </row>
    <row r="14" spans="1:15">
      <c r="A14" s="5" t="s">
        <v>726</v>
      </c>
      <c r="B14" s="5"/>
      <c r="C14" s="5"/>
      <c r="D14" s="5"/>
      <c r="E14" s="5"/>
      <c r="F14" s="5"/>
      <c r="G14" s="5"/>
      <c r="H14" s="5"/>
      <c r="I14" s="5" t="s">
        <v>713</v>
      </c>
      <c r="J14" s="5" t="s">
        <v>714</v>
      </c>
      <c r="K14" s="5"/>
      <c r="L14" s="5"/>
    </row>
    <row r="15" spans="1:15">
      <c r="A15" s="5" t="s">
        <v>727</v>
      </c>
      <c r="B15" s="5"/>
      <c r="C15" s="5"/>
      <c r="D15" s="5"/>
      <c r="E15" s="5"/>
      <c r="F15" s="5"/>
      <c r="G15" s="5"/>
      <c r="H15" s="5"/>
      <c r="I15" s="5" t="s">
        <v>713</v>
      </c>
      <c r="J15" s="5" t="s">
        <v>714</v>
      </c>
      <c r="K15" s="5"/>
      <c r="L15" s="5"/>
    </row>
    <row r="16" spans="1:15">
      <c r="A16" s="5" t="s">
        <v>728</v>
      </c>
      <c r="B16" s="5"/>
      <c r="C16" s="5"/>
      <c r="D16" s="5"/>
      <c r="E16" s="5"/>
      <c r="F16" s="5"/>
      <c r="G16" s="5"/>
      <c r="H16" s="5"/>
      <c r="I16" s="5" t="s">
        <v>713</v>
      </c>
      <c r="J16" s="5" t="s">
        <v>714</v>
      </c>
      <c r="K16" s="5"/>
      <c r="L16" s="5"/>
    </row>
    <row r="17" spans="1:12">
      <c r="A17" s="5" t="s">
        <v>729</v>
      </c>
      <c r="B17" s="5"/>
      <c r="C17" s="5"/>
      <c r="D17" s="5"/>
      <c r="E17" s="5"/>
      <c r="F17" s="5"/>
      <c r="G17" s="5"/>
      <c r="H17" s="5"/>
      <c r="I17" s="5" t="s">
        <v>713</v>
      </c>
      <c r="J17" s="5" t="s">
        <v>714</v>
      </c>
      <c r="K17" s="5"/>
      <c r="L17" s="5"/>
    </row>
    <row r="18" spans="1:12">
      <c r="A18" s="5" t="s">
        <v>730</v>
      </c>
      <c r="B18" s="5"/>
      <c r="C18" s="5"/>
      <c r="D18" s="5"/>
      <c r="E18" s="5"/>
      <c r="F18" s="5"/>
      <c r="G18" s="5"/>
      <c r="H18" s="5"/>
      <c r="I18" s="5" t="s">
        <v>713</v>
      </c>
      <c r="J18" s="5" t="s">
        <v>714</v>
      </c>
      <c r="K18" s="5"/>
      <c r="L18" s="5"/>
    </row>
    <row r="19" spans="1:12">
      <c r="A19" s="5" t="s">
        <v>731</v>
      </c>
      <c r="B19" s="5"/>
      <c r="C19" s="5"/>
      <c r="D19" s="5"/>
      <c r="E19" s="5"/>
      <c r="F19" s="5"/>
      <c r="G19" s="5"/>
      <c r="H19" s="5"/>
      <c r="I19" s="5" t="s">
        <v>713</v>
      </c>
      <c r="J19" s="5" t="s">
        <v>714</v>
      </c>
      <c r="K19" s="5"/>
      <c r="L19" s="5"/>
    </row>
    <row r="20" spans="1:12">
      <c r="A20" s="5" t="s">
        <v>732</v>
      </c>
      <c r="B20" s="5"/>
      <c r="C20" s="5"/>
      <c r="D20" s="5"/>
      <c r="E20" s="5"/>
      <c r="F20" s="5"/>
      <c r="G20" s="5"/>
      <c r="H20" s="5"/>
      <c r="I20" s="5" t="s">
        <v>713</v>
      </c>
      <c r="J20" s="5" t="s">
        <v>714</v>
      </c>
      <c r="K20" s="5"/>
      <c r="L20" s="5"/>
    </row>
    <row r="21" spans="1:12">
      <c r="A21" s="5" t="s">
        <v>733</v>
      </c>
      <c r="B21" s="5"/>
      <c r="C21" s="5"/>
      <c r="D21" s="5"/>
      <c r="E21" s="5"/>
      <c r="F21" s="5"/>
      <c r="G21" s="5"/>
      <c r="H21" s="5"/>
      <c r="I21" s="5" t="s">
        <v>713</v>
      </c>
      <c r="J21" s="5" t="s">
        <v>714</v>
      </c>
      <c r="K21" s="5"/>
      <c r="L21" s="5"/>
    </row>
  </sheetData>
  <dataValidations count="2">
    <dataValidation type="list" sqref="I2:I21" xr:uid="{00000000-0002-0000-0500-000000000000}">
      <formula1>"Low,Medium,High,Critical"</formula1>
    </dataValidation>
    <dataValidation type="list" sqref="J2:J21" xr:uid="{00000000-0002-0000-0500-000001000000}">
      <formula1>"Open,In Progress,Resolved,Closed,Won't Fix"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workbookViewId="0"/>
  </sheetViews>
  <sheetFormatPr defaultRowHeight="13.8"/>
  <cols>
    <col min="1" max="1" width="22" customWidth="1"/>
    <col min="2" max="2" width="100" customWidth="1"/>
  </cols>
  <sheetData>
    <row r="1" spans="1:15" ht="41.4">
      <c r="A1" s="4" t="s">
        <v>734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7.6">
      <c r="A2" s="5" t="s">
        <v>735</v>
      </c>
      <c r="B2" s="5" t="s">
        <v>736</v>
      </c>
    </row>
    <row r="3" spans="1:15" ht="27.6">
      <c r="A3" s="5" t="s">
        <v>737</v>
      </c>
      <c r="B3" s="5" t="s">
        <v>738</v>
      </c>
    </row>
    <row r="4" spans="1:15" ht="27.6">
      <c r="A4" s="5" t="s">
        <v>739</v>
      </c>
      <c r="B4" s="5" t="s">
        <v>740</v>
      </c>
    </row>
    <row r="5" spans="1:15" ht="27.6">
      <c r="A5" s="5" t="s">
        <v>741</v>
      </c>
      <c r="B5" s="5" t="s">
        <v>742</v>
      </c>
    </row>
    <row r="6" spans="1:15">
      <c r="A6" s="5" t="s">
        <v>743</v>
      </c>
      <c r="B6" s="5" t="s">
        <v>744</v>
      </c>
    </row>
    <row r="7" spans="1:15">
      <c r="A7" s="5" t="s">
        <v>745</v>
      </c>
      <c r="B7" s="5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Functional_TestCases</vt:lpstr>
      <vt:lpstr>Test_Data</vt:lpstr>
      <vt:lpstr>Mapping_Yeu_Cau</vt:lpstr>
      <vt:lpstr>API_Checklist</vt:lpstr>
      <vt:lpstr>Bug_Log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Đường Gia Bằng 22026537</cp:lastModifiedBy>
  <dcterms:modified xsi:type="dcterms:W3CDTF">2026-05-19T13:03:19Z</dcterms:modified>
</cp:coreProperties>
</file>